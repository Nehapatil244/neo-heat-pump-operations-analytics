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RAW DATA" sheetId="2" state="visible" r:id="rId4"/>
    <sheet name="CLEANED DATA" sheetId="3" state="visible" r:id="rId5"/>
    <sheet name="KPI ANALYSIS" sheetId="4" state="visible" r:id="rId6"/>
    <sheet name="PIVOT ANALYSIS" sheetId="5" state="visible" r:id="rId7"/>
    <sheet name="OPERATIONS DASHBOARD" sheetId="6" state="visible" r:id="rId8"/>
    <sheet name="BUSINESS RECOMMENDATIONS" sheetId="7" state="visible" r:id="rId9"/>
    <sheet name="DATA QUALITY LOG" sheetId="8" state="visible" r:id="rId10"/>
    <sheet name="DATA DICTIONARY" sheetId="9" state="visible" r:id="rId11"/>
    <sheet name="LISTS" sheetId="10" state="hidden" r:id="rId12"/>
  </sheets>
  <definedNames>
    <definedName function="false" hidden="true" localSheetId="2" name="_xlnm._FilterDatabase" vbProcedure="false">'CLEANED DATA'!$A$1:$AP$161</definedName>
    <definedName function="false" hidden="false" localSheetId="5" name="_xlnm.Print_Area" vbProcedure="false">'OPERATIONS DASHBOARD'!$A$1:$Q$72</definedName>
    <definedName function="false" hidden="true" localSheetId="1" name="_xlnm._FilterDatabase" vbProcedure="false">'RAW DATA'!$A$5:$R$168</definedName>
    <definedName function="false" hidden="false" name="AsOf" vbProcedure="false">'KPI ANALYSIS'!$C$4</definedName>
    <definedName function="false" hidden="false" name="fCat" vbProcedure="false">'OPERATIONS DASHBOARD'!$C$4</definedName>
    <definedName function="false" hidden="false" name="fCust" vbProcedure="false">'OPERATIONS DASHBOARD'!$H$4</definedName>
    <definedName function="false" hidden="false" name="fReg" vbProcedure="false">'OPERATIONS DASHBOARD'!$M$4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<sst xmlns="http://schemas.openxmlformats.org/spreadsheetml/2006/main" count="5098" uniqueCount="1401">
  <si>
    <t xml:space="preserve">Order Fulfilment &amp; Installation Performance Analysis Dashboard</t>
  </si>
  <si>
    <t xml:space="preserve">Business Operations Analytics Case Study for Neo Heat Pump - Sai Heating and Cooling Solutions</t>
  </si>
  <si>
    <t xml:space="preserve">IMPORTANT - SIMULATED DATA: all 160 orders are synthetic records generated for a portfolio case study. They do not describe real orders, customers, prices or performance of the company. Findings illustrate an analysis method; recommendations are proposals only.</t>
  </si>
  <si>
    <t xml:space="preserve">What this is</t>
  </si>
  <si>
    <t xml:space="preserve">An operations-analysis workbook that turns raw order records into KPIs, a management dashboard, findings and recommendations for order fulfilment, delivery and installation.</t>
  </si>
  <si>
    <t xml:space="preserve">Why it was built</t>
  </si>
  <si>
    <t xml:space="preserve">Management needs one reliable view of: how many orders are done, pending or cancelled; whether deliveries and installations keep their promised dates; which open orders are overdue; and where the process gets stuck.</t>
  </si>
  <si>
    <t xml:space="preserve">Data period</t>
  </si>
  <si>
    <t xml:space="preserve">Orders booked 1-Jan-2026 to 30-Jun-2026. Report as-of date: 30-Jun-2026 (editable on KPI ANALYSIS, cell C4).</t>
  </si>
  <si>
    <t xml:space="preserve">Prepared by</t>
  </si>
  <si>
    <t xml:space="preserve">[Your Name] - portfolio project (not an employee report).</t>
  </si>
  <si>
    <t xml:space="preserve">HOW TO NAVIGATE (click a sheet name)</t>
  </si>
  <si>
    <t xml:space="preserve">OPERATIONS DASHBOARD</t>
  </si>
  <si>
    <t xml:space="preserve">Start here if you have 2 minutes: KPI cards, 6 charts, overdue-order list. Yellow boxes filter everything.</t>
  </si>
  <si>
    <t xml:space="preserve">KPI ANALYSIS</t>
  </si>
  <si>
    <t xml:space="preserve">Every KPI with formula, numerator, denominator, exclusions and interpretation.</t>
  </si>
  <si>
    <t xml:space="preserve">PIVOT ANALYSIS</t>
  </si>
  <si>
    <t xml:space="preserve">Summary tables by product, month, customer type, region, stage and delay reason.</t>
  </si>
  <si>
    <t xml:space="preserve">BUSINESS RECOMMENDATIONS</t>
  </si>
  <si>
    <t xml:space="preserve">Findings (with live supporting numbers) and 9 prioritised recommendations.</t>
  </si>
  <si>
    <t xml:space="preserve">CLEANED DATA</t>
  </si>
  <si>
    <t xml:space="preserve">The validated dataset. Dark headers = inputs, teal headers = formula columns.</t>
  </si>
  <si>
    <t xml:space="preserve">RAW DATA</t>
  </si>
  <si>
    <t xml:space="preserve">The original export, untouched, including its errors.</t>
  </si>
  <si>
    <t xml:space="preserve">DATA QUALITY LOG</t>
  </si>
  <si>
    <t xml:space="preserve">Live quality checks, the cleaning rules and every cell that was changed or flagged.</t>
  </si>
  <si>
    <t xml:space="preserve">DATA DICTIONARY</t>
  </si>
  <si>
    <t xml:space="preserve">Meaning of every column in RAW and CLEANED data.</t>
  </si>
  <si>
    <t xml:space="preserve">HOW TO READ THE DASHBOARD</t>
  </si>
  <si>
    <t xml:space="preserve">Order completion</t>
  </si>
  <si>
    <t xml:space="preserve">Completed (installed) orders ÷ non-cancelled orders. Recent orders that are not due yet still count as open, so June looks lower.</t>
  </si>
  <si>
    <t xml:space="preserve">On-time delivery</t>
  </si>
  <si>
    <t xml:space="preserve">Deliveries on or before the promised date ÷ deliveries with valid dates. Undelivered and cancelled orders are not in this rate.</t>
  </si>
  <si>
    <t xml:space="preserve">Installation completion</t>
  </si>
  <si>
    <t xml:space="preserve">Installations that were due by the as-of date and are done ÷ installations due.</t>
  </si>
  <si>
    <t xml:space="preserve">Overdue</t>
  </si>
  <si>
    <t xml:space="preserve">An open order past the promise for the stage it is in. A promise after the as-of date is 'not yet due', never overdue.</t>
  </si>
  <si>
    <t xml:space="preserve">Colours</t>
  </si>
  <si>
    <t xml:space="preserve">Teal = performance, red = late/overdue, amber = in progress, grey = cancelled/neutral.</t>
  </si>
  <si>
    <t xml:space="preserve">TOOLS</t>
  </si>
  <si>
    <t xml:space="preserve">Excel formulas (COUNTIFS, SUMIFS, AVERAGEIFS, INDEX/MATCH, LARGE, SUMPRODUCT), named cells, data validation dropdowns, conditional formatting, charts. The file was generated with Python (pandas, openpyxl) and recalculated in LibreOffice; open it in Excel and press Ctrl+Alt+F9 once to force a full recalculation. PivotTables/slicers are not included because the generator cannot create them - PIVOT ANALYSIS gives formula equivalents and 5 steps to add one.</t>
  </si>
  <si>
    <t xml:space="preserve">RAW DATA - original export exactly as received (do not edit)</t>
  </si>
  <si>
    <t xml:space="preserve">SIMULATED DATA - synthetic records created for a portfolio case study. Not real company performance.</t>
  </si>
  <si>
    <t xml:space="preserve">163 rows including 3 duplicate rows and deliberate data-entry problems. Values are stored as text, as an export would deliver them. The cleaned version is on CLEANED DATA.</t>
  </si>
  <si>
    <t xml:space="preserve">Order ID</t>
  </si>
  <si>
    <t xml:space="preserve">Order Date</t>
  </si>
  <si>
    <t xml:space="preserve">Customer Ref</t>
  </si>
  <si>
    <t xml:space="preserve">Customer Type</t>
  </si>
  <si>
    <t xml:space="preserve">Region</t>
  </si>
  <si>
    <t xml:space="preserve">Product Category</t>
  </si>
  <si>
    <t xml:space="preserve">Units</t>
  </si>
  <si>
    <t xml:space="preserve">Order Value (INR)</t>
  </si>
  <si>
    <t xml:space="preserve">Expected Delivery</t>
  </si>
  <si>
    <t xml:space="preserve">Dispatch Date</t>
  </si>
  <si>
    <t xml:space="preserve">Delivery Date</t>
  </si>
  <si>
    <t xml:space="preserve">Expected Installation</t>
  </si>
  <si>
    <t xml:space="preserve">Installation Date</t>
  </si>
  <si>
    <t xml:space="preserve">Status</t>
  </si>
  <si>
    <t xml:space="preserve">Delivery Delay Reason</t>
  </si>
  <si>
    <t xml:space="preserve">Installation Delay Reason</t>
  </si>
  <si>
    <t xml:space="preserve">Cancellation Reason</t>
  </si>
  <si>
    <t xml:space="preserve">Notes</t>
  </si>
  <si>
    <t xml:space="preserve">NHP-0001</t>
  </si>
  <si>
    <t xml:space="preserve">03-01-2026</t>
  </si>
  <si>
    <t xml:space="preserve">CUST-7126</t>
  </si>
  <si>
    <t xml:space="preserve">Institutional</t>
  </si>
  <si>
    <t xml:space="preserve">Other States</t>
  </si>
  <si>
    <t xml:space="preserve">Commercial Heat Pump</t>
  </si>
  <si>
    <t xml:space="preserve">2</t>
  </si>
  <si>
    <t xml:space="preserve">794000</t>
  </si>
  <si>
    <t xml:space="preserve">25-01-2026</t>
  </si>
  <si>
    <t xml:space="preserve">09-01-2026</t>
  </si>
  <si>
    <t xml:space="preserve">15-01-2026</t>
  </si>
  <si>
    <t xml:space="preserve">30-01-2026</t>
  </si>
  <si>
    <t xml:space="preserve">20-01-2026</t>
  </si>
  <si>
    <t xml:space="preserve">Completed</t>
  </si>
  <si>
    <t xml:space="preserve">NHP-0002</t>
  </si>
  <si>
    <t xml:space="preserve">08-01-2026</t>
  </si>
  <si>
    <t xml:space="preserve">CUST-6574</t>
  </si>
  <si>
    <t xml:space="preserve">1090000</t>
  </si>
  <si>
    <t xml:space="preserve">03-02-2026</t>
  </si>
  <si>
    <t xml:space="preserve">18-02-2026</t>
  </si>
  <si>
    <t xml:space="preserve">04-02-2026</t>
  </si>
  <si>
    <t xml:space="preserve">23-02-2026</t>
  </si>
  <si>
    <t xml:space="preserve">Component shortage</t>
  </si>
  <si>
    <t xml:space="preserve">Knock-on from late delivery</t>
  </si>
  <si>
    <t xml:space="preserve">Customer requested weekend install</t>
  </si>
  <si>
    <t xml:space="preserve">NHP-0003</t>
  </si>
  <si>
    <t xml:space="preserve">10-01-2026</t>
  </si>
  <si>
    <t xml:space="preserve">CUST-4483</t>
  </si>
  <si>
    <t xml:space="preserve">Commercial</t>
  </si>
  <si>
    <t xml:space="preserve">Bengaluru</t>
  </si>
  <si>
    <t xml:space="preserve">4</t>
  </si>
  <si>
    <t xml:space="preserve">2232000</t>
  </si>
  <si>
    <t xml:space="preserve">28-01-2026</t>
  </si>
  <si>
    <t xml:space="preserve">31-01-2026</t>
  </si>
  <si>
    <t xml:space="preserve">02-02-2026</t>
  </si>
  <si>
    <t xml:space="preserve">06-02-2026</t>
  </si>
  <si>
    <t xml:space="preserve">Site survey done</t>
  </si>
  <si>
    <t xml:space="preserve">NHP-0004</t>
  </si>
  <si>
    <t xml:space="preserve">12-01-2026</t>
  </si>
  <si>
    <t xml:space="preserve">CUST-6930</t>
  </si>
  <si>
    <t xml:space="preserve">Rest of Karnataka</t>
  </si>
  <si>
    <t xml:space="preserve">Heat Pump Dryer</t>
  </si>
  <si>
    <t xml:space="preserve">1</t>
  </si>
  <si>
    <t xml:space="preserve">783000</t>
  </si>
  <si>
    <t xml:space="preserve">01-02-2026</t>
  </si>
  <si>
    <t xml:space="preserve">05-02-2026</t>
  </si>
  <si>
    <t xml:space="preserve">09-02-2026</t>
  </si>
  <si>
    <t xml:space="preserve">13-02-2026</t>
  </si>
  <si>
    <t xml:space="preserve">Production backlog</t>
  </si>
  <si>
    <t xml:space="preserve">Technician availability</t>
  </si>
  <si>
    <t xml:space="preserve">NHP-0005</t>
  </si>
  <si>
    <t xml:space="preserve">CUST-7543</t>
  </si>
  <si>
    <t xml:space="preserve">3</t>
  </si>
  <si>
    <t xml:space="preserve">1998000</t>
  </si>
  <si>
    <t xml:space="preserve">11-02-2026</t>
  </si>
  <si>
    <t xml:space="preserve">28-02-2026</t>
  </si>
  <si>
    <t xml:space="preserve">NHP-0006</t>
  </si>
  <si>
    <t xml:space="preserve">21-01-2026</t>
  </si>
  <si>
    <t xml:space="preserve">CUST-5374</t>
  </si>
  <si>
    <t xml:space="preserve">Custom Requirement</t>
  </si>
  <si>
    <t xml:space="preserve">2244000</t>
  </si>
  <si>
    <t xml:space="preserve">20-02-2026</t>
  </si>
  <si>
    <t xml:space="preserve">25-02-2026</t>
  </si>
  <si>
    <t xml:space="preserve">17-02-2026</t>
  </si>
  <si>
    <t xml:space="preserve">NHP-0007</t>
  </si>
  <si>
    <t xml:space="preserve">22-01-2026</t>
  </si>
  <si>
    <t xml:space="preserve">CUST-6573</t>
  </si>
  <si>
    <t xml:space="preserve">21-02-2026</t>
  </si>
  <si>
    <t xml:space="preserve">19-02-2026</t>
  </si>
  <si>
    <t xml:space="preserve">31-02-2026</t>
  </si>
  <si>
    <t xml:space="preserve">26-02-2026</t>
  </si>
  <si>
    <t xml:space="preserve">COMPLETED</t>
  </si>
  <si>
    <t xml:space="preserve">Electrical load checked</t>
  </si>
  <si>
    <t xml:space="preserve">NHP-0008</t>
  </si>
  <si>
    <t xml:space="preserve">2026/01/23</t>
  </si>
  <si>
    <t xml:space="preserve">CUST-5339</t>
  </si>
  <si>
    <t xml:space="preserve">1038000</t>
  </si>
  <si>
    <t xml:space="preserve">10-02-2026</t>
  </si>
  <si>
    <t xml:space="preserve">15-02-2026</t>
  </si>
  <si>
    <t xml:space="preserve">16-02-2026</t>
  </si>
  <si>
    <t xml:space="preserve">NHP-0009</t>
  </si>
  <si>
    <t xml:space="preserve">24-01-2026</t>
  </si>
  <si>
    <t xml:space="preserve">CUST-1520</t>
  </si>
  <si>
    <t xml:space="preserve">1594000</t>
  </si>
  <si>
    <t xml:space="preserve">NHP-0010</t>
  </si>
  <si>
    <t xml:space="preserve">26-01-2026</t>
  </si>
  <si>
    <t xml:space="preserve">CUST-2679</t>
  </si>
  <si>
    <t xml:space="preserve">Residential</t>
  </si>
  <si>
    <t xml:space="preserve">Swimming Pool Heat Pump</t>
  </si>
  <si>
    <t xml:space="preserve">249000</t>
  </si>
  <si>
    <t xml:space="preserve">12-02-2026</t>
  </si>
  <si>
    <t xml:space="preserve">NHP-0011</t>
  </si>
  <si>
    <t xml:space="preserve">29-01-2026</t>
  </si>
  <si>
    <t xml:space="preserve">CUST-6881</t>
  </si>
  <si>
    <t xml:space="preserve">846000</t>
  </si>
  <si>
    <t xml:space="preserve">22-02-2026</t>
  </si>
  <si>
    <t xml:space="preserve">01-03-2026</t>
  </si>
  <si>
    <t xml:space="preserve">NHP-0012</t>
  </si>
  <si>
    <t xml:space="preserve">Heat Pump Water Heater</t>
  </si>
  <si>
    <t xml:space="preserve">174000</t>
  </si>
  <si>
    <t xml:space="preserve">08-02-2026</t>
  </si>
  <si>
    <t xml:space="preserve">NHP-0013</t>
  </si>
  <si>
    <t xml:space="preserve">CUST-9669</t>
  </si>
  <si>
    <t xml:space="preserve">131000</t>
  </si>
  <si>
    <t xml:space="preserve">07-02-2026</t>
  </si>
  <si>
    <t xml:space="preserve">14-02-2026</t>
  </si>
  <si>
    <t xml:space="preserve">Replacement of old geyser</t>
  </si>
  <si>
    <t xml:space="preserve">NHP-0014</t>
  </si>
  <si>
    <t xml:space="preserve">CUST-2519</t>
  </si>
  <si>
    <t xml:space="preserve">448000</t>
  </si>
  <si>
    <t xml:space="preserve">24-02-2026</t>
  </si>
  <si>
    <t xml:space="preserve">NHP-0015</t>
  </si>
  <si>
    <t xml:space="preserve">CUST-5315</t>
  </si>
  <si>
    <t xml:space="preserve">798000</t>
  </si>
  <si>
    <t xml:space="preserve">27-02-2026</t>
  </si>
  <si>
    <t xml:space="preserve">03-03-2026</t>
  </si>
  <si>
    <t xml:space="preserve"> NHP-0016 </t>
  </si>
  <si>
    <t xml:space="preserve">574000</t>
  </si>
  <si>
    <t xml:space="preserve">08-03-2026</t>
  </si>
  <si>
    <t xml:space="preserve">05-03-2026</t>
  </si>
  <si>
    <t xml:space="preserve">19-03-2026</t>
  </si>
  <si>
    <t xml:space="preserve">Customer site not ready</t>
  </si>
  <si>
    <t xml:space="preserve">NHP-0017</t>
  </si>
  <si>
    <t xml:space="preserve">CUST-1488</t>
  </si>
  <si>
    <t xml:space="preserve">2040000</t>
  </si>
  <si>
    <t xml:space="preserve">10-03-2026</t>
  </si>
  <si>
    <t xml:space="preserve">Cancelled</t>
  </si>
  <si>
    <t xml:space="preserve">Customer postponed project</t>
  </si>
  <si>
    <t xml:space="preserve">Unit returned to factory after delivery</t>
  </si>
  <si>
    <t xml:space="preserve">NHP-0018</t>
  </si>
  <si>
    <t xml:space="preserve">CUST-3621</t>
  </si>
  <si>
    <t xml:space="preserve">1311000</t>
  </si>
  <si>
    <t xml:space="preserve">07-03-2026</t>
  </si>
  <si>
    <t xml:space="preserve">04-03-2026</t>
  </si>
  <si>
    <t xml:space="preserve">12-03-2026</t>
  </si>
  <si>
    <t xml:space="preserve">13-03-2026</t>
  </si>
  <si>
    <t xml:space="preserve">NHP-0019</t>
  </si>
  <si>
    <t xml:space="preserve">CUST-7065</t>
  </si>
  <si>
    <t xml:space="preserve">1122000</t>
  </si>
  <si>
    <t xml:space="preserve">NHP-0020</t>
  </si>
  <si>
    <t xml:space="preserve">CUST-3340</t>
  </si>
  <si>
    <t xml:space="preserve">HP Water Heater</t>
  </si>
  <si>
    <t xml:space="preserve">160000</t>
  </si>
  <si>
    <t xml:space="preserve">NHP-0021</t>
  </si>
  <si>
    <t xml:space="preserve">CUST-4657</t>
  </si>
  <si>
    <t xml:space="preserve">residential</t>
  </si>
  <si>
    <t xml:space="preserve">153000</t>
  </si>
  <si>
    <t xml:space="preserve">Canceled</t>
  </si>
  <si>
    <t xml:space="preserve">Long lead time</t>
  </si>
  <si>
    <t xml:space="preserve">NHP-0022</t>
  </si>
  <si>
    <t xml:space="preserve">CUST-4811</t>
  </si>
  <si>
    <t xml:space="preserve">Pool Heat Pump</t>
  </si>
  <si>
    <t xml:space="preserve">870000</t>
  </si>
  <si>
    <t xml:space="preserve">completed</t>
  </si>
  <si>
    <t xml:space="preserve">NHP-0023</t>
  </si>
  <si>
    <t xml:space="preserve">CUST-1916</t>
  </si>
  <si>
    <t xml:space="preserve">1898000</t>
  </si>
  <si>
    <t xml:space="preserve">17-03-2026</t>
  </si>
  <si>
    <t xml:space="preserve">Price / budget</t>
  </si>
  <si>
    <t xml:space="preserve">NHP-0024</t>
  </si>
  <si>
    <t xml:space="preserve">CUST-2824</t>
  </si>
  <si>
    <t xml:space="preserve">1434000</t>
  </si>
  <si>
    <t xml:space="preserve">06-03-2026</t>
  </si>
  <si>
    <t xml:space="preserve">18-03-2026</t>
  </si>
  <si>
    <t xml:space="preserve">Pipe routing confirmed</t>
  </si>
  <si>
    <t xml:space="preserve">NHP-0025</t>
  </si>
  <si>
    <t xml:space="preserve">157000</t>
  </si>
  <si>
    <t xml:space="preserve">NHP-0026</t>
  </si>
  <si>
    <t xml:space="preserve">Comm.</t>
  </si>
  <si>
    <t xml:space="preserve">632000</t>
  </si>
  <si>
    <t xml:space="preserve">NHP-0027</t>
  </si>
  <si>
    <t xml:space="preserve">CUST-3664</t>
  </si>
  <si>
    <t xml:space="preserve">185000</t>
  </si>
  <si>
    <t xml:space="preserve">NHP-0028</t>
  </si>
  <si>
    <t xml:space="preserve">1670000</t>
  </si>
  <si>
    <t xml:space="preserve">27-03-2026</t>
  </si>
  <si>
    <t xml:space="preserve">28-03-2026</t>
  </si>
  <si>
    <t xml:space="preserve">24-03-2026</t>
  </si>
  <si>
    <t xml:space="preserve">01-04-2026</t>
  </si>
  <si>
    <t xml:space="preserve">NHP-0029</t>
  </si>
  <si>
    <t xml:space="preserve">CUST-4432</t>
  </si>
  <si>
    <t xml:space="preserve">900000</t>
  </si>
  <si>
    <t xml:space="preserve">NHP-0030</t>
  </si>
  <si>
    <t xml:space="preserve">3144000</t>
  </si>
  <si>
    <t xml:space="preserve">15-03-2026</t>
  </si>
  <si>
    <t xml:space="preserve">22-03-2026</t>
  </si>
  <si>
    <t xml:space="preserve">NHP-0031</t>
  </si>
  <si>
    <t xml:space="preserve">CUST-5808</t>
  </si>
  <si>
    <t xml:space="preserve">619000</t>
  </si>
  <si>
    <t xml:space="preserve"> NHP-0032 </t>
  </si>
  <si>
    <t xml:space="preserve">2026/02/24</t>
  </si>
  <si>
    <t xml:space="preserve">CUST-5119</t>
  </si>
  <si>
    <t xml:space="preserve">183000</t>
  </si>
  <si>
    <t xml:space="preserve">11-03-2026</t>
  </si>
  <si>
    <t xml:space="preserve">16-03-2026</t>
  </si>
  <si>
    <t xml:space="preserve">NHP-0033</t>
  </si>
  <si>
    <t xml:space="preserve">CUST-4150</t>
  </si>
  <si>
    <t xml:space="preserve">2952000</t>
  </si>
  <si>
    <t xml:space="preserve">14-03-2026</t>
  </si>
  <si>
    <t xml:space="preserve">NHP-0034</t>
  </si>
  <si>
    <t xml:space="preserve">CUST-3547</t>
  </si>
  <si>
    <t xml:space="preserve">488000</t>
  </si>
  <si>
    <t xml:space="preserve">02-03-2026</t>
  </si>
  <si>
    <t xml:space="preserve">NHP-0035</t>
  </si>
  <si>
    <t xml:space="preserve">CUST-8428</t>
  </si>
  <si>
    <t xml:space="preserve">NHP-0036</t>
  </si>
  <si>
    <t xml:space="preserve">CUST-4257</t>
  </si>
  <si>
    <t xml:space="preserve">264000</t>
  </si>
  <si>
    <t xml:space="preserve">09-03-2026</t>
  </si>
  <si>
    <t xml:space="preserve">NHP-0037</t>
  </si>
  <si>
    <t xml:space="preserve">CUST-5371</t>
  </si>
  <si>
    <t xml:space="preserve">Rs. 1,055,000</t>
  </si>
  <si>
    <t xml:space="preserve">NHP-0038</t>
  </si>
  <si>
    <t xml:space="preserve">CUST-4527</t>
  </si>
  <si>
    <t xml:space="preserve">753000</t>
  </si>
  <si>
    <t xml:space="preserve">NHP-0039</t>
  </si>
  <si>
    <t xml:space="preserve">CUST-7916</t>
  </si>
  <si>
    <t xml:space="preserve">260000</t>
  </si>
  <si>
    <t xml:space="preserve">NHP-0040</t>
  </si>
  <si>
    <t xml:space="preserve">1030000</t>
  </si>
  <si>
    <t xml:space="preserve">23-03-2026</t>
  </si>
  <si>
    <t xml:space="preserve">02-04-2026</t>
  </si>
  <si>
    <t xml:space="preserve">NHP-0041</t>
  </si>
  <si>
    <t xml:space="preserve">CUST-2084</t>
  </si>
  <si>
    <t xml:space="preserve">426000</t>
  </si>
  <si>
    <t xml:space="preserve">20-03-2026</t>
  </si>
  <si>
    <t xml:space="preserve">NHP-0042</t>
  </si>
  <si>
    <t xml:space="preserve">CUST-7912</t>
  </si>
  <si>
    <t xml:space="preserve">1974000</t>
  </si>
  <si>
    <t xml:space="preserve">21-03-2026</t>
  </si>
  <si>
    <t xml:space="preserve">NHP-0043</t>
  </si>
  <si>
    <t xml:space="preserve">CUST-5741</t>
  </si>
  <si>
    <t xml:space="preserve">225000</t>
  </si>
  <si>
    <t xml:space="preserve">NHP-0044</t>
  </si>
  <si>
    <t xml:space="preserve">CUST-6313</t>
  </si>
  <si>
    <t xml:space="preserve">1174000</t>
  </si>
  <si>
    <t xml:space="preserve">25-03-2026</t>
  </si>
  <si>
    <t xml:space="preserve">31-03-2026</t>
  </si>
  <si>
    <t xml:space="preserve">29-03-2026</t>
  </si>
  <si>
    <t xml:space="preserve">NHP-0045</t>
  </si>
  <si>
    <t xml:space="preserve">CUST-9179</t>
  </si>
  <si>
    <t xml:space="preserve">499000</t>
  </si>
  <si>
    <t xml:space="preserve">26-03-2026</t>
  </si>
  <si>
    <t xml:space="preserve">03-04-2026</t>
  </si>
  <si>
    <t xml:space="preserve">NHP-0046</t>
  </si>
  <si>
    <t xml:space="preserve">CUST-9830</t>
  </si>
  <si>
    <t xml:space="preserve">197000</t>
  </si>
  <si>
    <t xml:space="preserve">30-03-2026</t>
  </si>
  <si>
    <t xml:space="preserve">25-06-2026</t>
  </si>
  <si>
    <t xml:space="preserve">NHP-0047</t>
  </si>
  <si>
    <t xml:space="preserve">CUST-7224</t>
  </si>
  <si>
    <t xml:space="preserve">517000</t>
  </si>
  <si>
    <t xml:space="preserve">04-04-2026</t>
  </si>
  <si>
    <t xml:space="preserve">NHP-0048</t>
  </si>
  <si>
    <t xml:space="preserve">CUST-7252</t>
  </si>
  <si>
    <t xml:space="preserve">469000</t>
  </si>
  <si>
    <t xml:space="preserve">06-04-2026</t>
  </si>
  <si>
    <t xml:space="preserve">NHP-0049</t>
  </si>
  <si>
    <t xml:space="preserve">CUST-2291</t>
  </si>
  <si>
    <t xml:space="preserve">198000</t>
  </si>
  <si>
    <t xml:space="preserve">NHP-0050</t>
  </si>
  <si>
    <t xml:space="preserve">503000</t>
  </si>
  <si>
    <t xml:space="preserve">22-04-2026</t>
  </si>
  <si>
    <t xml:space="preserve">17-04-2026</t>
  </si>
  <si>
    <t xml:space="preserve">02-05-2026</t>
  </si>
  <si>
    <t xml:space="preserve">27-04-2026</t>
  </si>
  <si>
    <t xml:space="preserve">Pending</t>
  </si>
  <si>
    <t xml:space="preserve">Transport scheduling</t>
  </si>
  <si>
    <t xml:space="preserve">NHP-0051</t>
  </si>
  <si>
    <t xml:space="preserve">CUST-2169</t>
  </si>
  <si>
    <t xml:space="preserve">347000</t>
  </si>
  <si>
    <t xml:space="preserve">07-04-2026</t>
  </si>
  <si>
    <t xml:space="preserve">NHP-0052</t>
  </si>
  <si>
    <t xml:space="preserve">439000</t>
  </si>
  <si>
    <t xml:space="preserve">08-04-2026</t>
  </si>
  <si>
    <t xml:space="preserve">05-04-2026</t>
  </si>
  <si>
    <t xml:space="preserve">11-04-2026</t>
  </si>
  <si>
    <t xml:space="preserve">NHP-0053</t>
  </si>
  <si>
    <t xml:space="preserve">1005000</t>
  </si>
  <si>
    <t xml:space="preserve">12-04-2026</t>
  </si>
  <si>
    <t xml:space="preserve">NHP-0054</t>
  </si>
  <si>
    <t xml:space="preserve">CUST-5304</t>
  </si>
  <si>
    <t xml:space="preserve">117000</t>
  </si>
  <si>
    <t xml:space="preserve">NHP-0055</t>
  </si>
  <si>
    <t xml:space="preserve">CUST-3287</t>
  </si>
  <si>
    <t xml:space="preserve">372000</t>
  </si>
  <si>
    <t xml:space="preserve">13-04-2026</t>
  </si>
  <si>
    <t xml:space="preserve">14-04-2026</t>
  </si>
  <si>
    <t xml:space="preserve">16-04-2026</t>
  </si>
  <si>
    <t xml:space="preserve">15-04-2026</t>
  </si>
  <si>
    <t xml:space="preserve">Dispatch scheduling</t>
  </si>
  <si>
    <t xml:space="preserve">NHP-0056</t>
  </si>
  <si>
    <t xml:space="preserve">2026/03/27</t>
  </si>
  <si>
    <t xml:space="preserve">1000000</t>
  </si>
  <si>
    <t xml:space="preserve">09-04-2026</t>
  </si>
  <si>
    <t xml:space="preserve">Complete</t>
  </si>
  <si>
    <t xml:space="preserve">NHP-0057</t>
  </si>
  <si>
    <t xml:space="preserve">CUST-9279</t>
  </si>
  <si>
    <t xml:space="preserve">NHP-0058</t>
  </si>
  <si>
    <t xml:space="preserve">CUST-3266</t>
  </si>
  <si>
    <t xml:space="preserve">202000</t>
  </si>
  <si>
    <t xml:space="preserve">10-04-2026</t>
  </si>
  <si>
    <t xml:space="preserve">NHP-0059</t>
  </si>
  <si>
    <t xml:space="preserve">134000</t>
  </si>
  <si>
    <t xml:space="preserve">Customer civil work in progress</t>
  </si>
  <si>
    <t xml:space="preserve">NHP-0060</t>
  </si>
  <si>
    <t xml:space="preserve">CUST-2307</t>
  </si>
  <si>
    <t xml:space="preserve">1023000</t>
  </si>
  <si>
    <t xml:space="preserve">26-06-2026</t>
  </si>
  <si>
    <t xml:space="preserve">29-06-2026</t>
  </si>
  <si>
    <t xml:space="preserve">NHP-0061</t>
  </si>
  <si>
    <t xml:space="preserve">CUST-4456</t>
  </si>
  <si>
    <t xml:space="preserve">498000</t>
  </si>
  <si>
    <t xml:space="preserve">18-04-2026</t>
  </si>
  <si>
    <t xml:space="preserve">NHP-0062</t>
  </si>
  <si>
    <t xml:space="preserve">312000</t>
  </si>
  <si>
    <t xml:space="preserve">22-06-2026</t>
  </si>
  <si>
    <t xml:space="preserve">NHP-0063</t>
  </si>
  <si>
    <t xml:space="preserve">CUST-1106</t>
  </si>
  <si>
    <t xml:space="preserve">19-04-2026</t>
  </si>
  <si>
    <t xml:space="preserve">23-04-2026</t>
  </si>
  <si>
    <t xml:space="preserve">06-05-2026</t>
  </si>
  <si>
    <t xml:space="preserve">NHP-0064</t>
  </si>
  <si>
    <t xml:space="preserve">CUST-3591</t>
  </si>
  <si>
    <t xml:space="preserve">208000</t>
  </si>
  <si>
    <t xml:space="preserve">NHP-0065</t>
  </si>
  <si>
    <t xml:space="preserve">CUST-2876</t>
  </si>
  <si>
    <t xml:space="preserve">1348000</t>
  </si>
  <si>
    <t xml:space="preserve">30-05-2026</t>
  </si>
  <si>
    <t xml:space="preserve">NHP-0066</t>
  </si>
  <si>
    <t xml:space="preserve">CUST-3677</t>
  </si>
  <si>
    <t xml:space="preserve">1476000</t>
  </si>
  <si>
    <t xml:space="preserve">24-04-2026</t>
  </si>
  <si>
    <t xml:space="preserve">28-04-2026</t>
  </si>
  <si>
    <t xml:space="preserve">NHP-0067</t>
  </si>
  <si>
    <t xml:space="preserve">CUST-5554</t>
  </si>
  <si>
    <t xml:space="preserve">1190000</t>
  </si>
  <si>
    <t xml:space="preserve">26-04-2026</t>
  </si>
  <si>
    <t xml:space="preserve">01-05-2026</t>
  </si>
  <si>
    <t xml:space="preserve">NHP-0068</t>
  </si>
  <si>
    <t xml:space="preserve">213000</t>
  </si>
  <si>
    <t xml:space="preserve">21-04-2026</t>
  </si>
  <si>
    <t xml:space="preserve">NHP-0069</t>
  </si>
  <si>
    <t xml:space="preserve">CUST-6635</t>
  </si>
  <si>
    <t xml:space="preserve">175000</t>
  </si>
  <si>
    <t xml:space="preserve">25-04-2026</t>
  </si>
  <si>
    <t xml:space="preserve">PENDING</t>
  </si>
  <si>
    <t xml:space="preserve">NHP-0070</t>
  </si>
  <si>
    <t xml:space="preserve">CUST-2674</t>
  </si>
  <si>
    <t xml:space="preserve">433000</t>
  </si>
  <si>
    <t xml:space="preserve">29-04-2026</t>
  </si>
  <si>
    <t xml:space="preserve">20-04-2026</t>
  </si>
  <si>
    <t xml:space="preserve">04-05-2026</t>
  </si>
  <si>
    <t xml:space="preserve">03-05-2026</t>
  </si>
  <si>
    <t xml:space="preserve">NHP-0071</t>
  </si>
  <si>
    <t xml:space="preserve">147000</t>
  </si>
  <si>
    <t xml:space="preserve">NHP-0072</t>
  </si>
  <si>
    <t xml:space="preserve">CUST-6925</t>
  </si>
  <si>
    <t xml:space="preserve">1284000</t>
  </si>
  <si>
    <t xml:space="preserve">30-04-2026</t>
  </si>
  <si>
    <t xml:space="preserve">05-05-2026</t>
  </si>
  <si>
    <t xml:space="preserve">NHP-0073</t>
  </si>
  <si>
    <t xml:space="preserve">CUST-6514</t>
  </si>
  <si>
    <t xml:space="preserve">692000</t>
  </si>
  <si>
    <t xml:space="preserve">07-05-2026</t>
  </si>
  <si>
    <t xml:space="preserve">NHP-0074</t>
  </si>
  <si>
    <t xml:space="preserve">CUST-7216</t>
  </si>
  <si>
    <t xml:space="preserve">597000</t>
  </si>
  <si>
    <t xml:space="preserve">NHP-0075</t>
  </si>
  <si>
    <t xml:space="preserve">NHP-0076</t>
  </si>
  <si>
    <t xml:space="preserve">CUST-4752</t>
  </si>
  <si>
    <t xml:space="preserve">708000</t>
  </si>
  <si>
    <t xml:space="preserve">12-05-2026</t>
  </si>
  <si>
    <t xml:space="preserve">08-05-2026</t>
  </si>
  <si>
    <t xml:space="preserve">20-05-2026</t>
  </si>
  <si>
    <t xml:space="preserve">17-05-2026</t>
  </si>
  <si>
    <t xml:space="preserve">In Progress</t>
  </si>
  <si>
    <t xml:space="preserve">NHP-0077</t>
  </si>
  <si>
    <t xml:space="preserve">CUST-1188</t>
  </si>
  <si>
    <t xml:space="preserve">2628000</t>
  </si>
  <si>
    <t xml:space="preserve">11-05-2026</t>
  </si>
  <si>
    <t xml:space="preserve">13-05-2026</t>
  </si>
  <si>
    <t xml:space="preserve">16-05-2026</t>
  </si>
  <si>
    <t xml:space="preserve">NHP-0078</t>
  </si>
  <si>
    <t xml:space="preserve">1175000</t>
  </si>
  <si>
    <t xml:space="preserve">10-05-2026</t>
  </si>
  <si>
    <t xml:space="preserve">21-05-2026</t>
  </si>
  <si>
    <t xml:space="preserve">15-05-2026</t>
  </si>
  <si>
    <t xml:space="preserve">25-05-2026</t>
  </si>
  <si>
    <t xml:space="preserve">NHP-0079</t>
  </si>
  <si>
    <t xml:space="preserve">801000</t>
  </si>
  <si>
    <t xml:space="preserve">22-05-2026</t>
  </si>
  <si>
    <t xml:space="preserve">29-05-2026</t>
  </si>
  <si>
    <t xml:space="preserve">27-05-2026</t>
  </si>
  <si>
    <t xml:space="preserve">04-06-2026</t>
  </si>
  <si>
    <t xml:space="preserve">NHP-0080</t>
  </si>
  <si>
    <t xml:space="preserve">179000</t>
  </si>
  <si>
    <t xml:space="preserve">NHP-0081</t>
  </si>
  <si>
    <t xml:space="preserve">1116000</t>
  </si>
  <si>
    <t xml:space="preserve">28-05-2026</t>
  </si>
  <si>
    <t xml:space="preserve">NHP-0082</t>
  </si>
  <si>
    <t xml:space="preserve">CUST-2743</t>
  </si>
  <si>
    <t xml:space="preserve">233000</t>
  </si>
  <si>
    <t xml:space="preserve">01-01-2026</t>
  </si>
  <si>
    <t xml:space="preserve">NHP-0083</t>
  </si>
  <si>
    <t xml:space="preserve">CUST-4593</t>
  </si>
  <si>
    <t xml:space="preserve">593000</t>
  </si>
  <si>
    <t xml:space="preserve">14-05-2026</t>
  </si>
  <si>
    <t xml:space="preserve">NHP-0084</t>
  </si>
  <si>
    <t xml:space="preserve">2026/04/27</t>
  </si>
  <si>
    <t xml:space="preserve">CUST-9928</t>
  </si>
  <si>
    <t xml:space="preserve">NHP-0085</t>
  </si>
  <si>
    <t xml:space="preserve">CUST-9317</t>
  </si>
  <si>
    <t xml:space="preserve">944000</t>
  </si>
  <si>
    <t xml:space="preserve">NHP-0086</t>
  </si>
  <si>
    <t xml:space="preserve">CUST-8019</t>
  </si>
  <si>
    <t xml:space="preserve">328000</t>
  </si>
  <si>
    <t xml:space="preserve">NHP-0087</t>
  </si>
  <si>
    <t xml:space="preserve">1158000</t>
  </si>
  <si>
    <t xml:space="preserve">NHP-0088</t>
  </si>
  <si>
    <t xml:space="preserve">CUST-1711</t>
  </si>
  <si>
    <t xml:space="preserve">410000</t>
  </si>
  <si>
    <t xml:space="preserve">18-05-2026</t>
  </si>
  <si>
    <t xml:space="preserve">23-05-2026</t>
  </si>
  <si>
    <t xml:space="preserve">NHP-0089</t>
  </si>
  <si>
    <t xml:space="preserve">924000</t>
  </si>
  <si>
    <t xml:space="preserve">19-05-2026</t>
  </si>
  <si>
    <t xml:space="preserve">24-05-2026</t>
  </si>
  <si>
    <t xml:space="preserve">NHP-0090</t>
  </si>
  <si>
    <t xml:space="preserve">CUST-9348</t>
  </si>
  <si>
    <t xml:space="preserve">661000</t>
  </si>
  <si>
    <t xml:space="preserve">31-05-2026</t>
  </si>
  <si>
    <t xml:space="preserve">02-06-2026</t>
  </si>
  <si>
    <t xml:space="preserve">26-05-2026</t>
  </si>
  <si>
    <t xml:space="preserve">05-06-2026</t>
  </si>
  <si>
    <t xml:space="preserve">NHP-0091</t>
  </si>
  <si>
    <t xml:space="preserve">CUST-6977</t>
  </si>
  <si>
    <t xml:space="preserve">commercial heat pump</t>
  </si>
  <si>
    <t xml:space="preserve">1161000</t>
  </si>
  <si>
    <t xml:space="preserve">01-06-2026</t>
  </si>
  <si>
    <t xml:space="preserve">NHP-0092</t>
  </si>
  <si>
    <t xml:space="preserve">306000</t>
  </si>
  <si>
    <t xml:space="preserve">NHP-0093</t>
  </si>
  <si>
    <t xml:space="preserve">2026/05/06</t>
  </si>
  <si>
    <t xml:space="preserve">584000</t>
  </si>
  <si>
    <t xml:space="preserve">NHP-0094</t>
  </si>
  <si>
    <t xml:space="preserve">1017000</t>
  </si>
  <si>
    <t xml:space="preserve">07-06-2026</t>
  </si>
  <si>
    <t xml:space="preserve">06-06-2026</t>
  </si>
  <si>
    <t xml:space="preserve">09-06-2026</t>
  </si>
  <si>
    <t xml:space="preserve">12-06-2026</t>
  </si>
  <si>
    <t xml:space="preserve">NHP-0095</t>
  </si>
  <si>
    <t xml:space="preserve">CUST-2584</t>
  </si>
  <si>
    <t xml:space="preserve">2722000</t>
  </si>
  <si>
    <t xml:space="preserve">11-06-2026</t>
  </si>
  <si>
    <t xml:space="preserve">18-06-2026</t>
  </si>
  <si>
    <t xml:space="preserve">21-06-2026</t>
  </si>
  <si>
    <t xml:space="preserve">16-06-2026</t>
  </si>
  <si>
    <t xml:space="preserve">NHP-0096</t>
  </si>
  <si>
    <t xml:space="preserve">669000</t>
  </si>
  <si>
    <t xml:space="preserve">10-06-2026</t>
  </si>
  <si>
    <t xml:space="preserve">15-06-2026</t>
  </si>
  <si>
    <t xml:space="preserve">NHP-0097</t>
  </si>
  <si>
    <t xml:space="preserve">CUST-4258</t>
  </si>
  <si>
    <t xml:space="preserve">144000</t>
  </si>
  <si>
    <t xml:space="preserve">NHP-0098</t>
  </si>
  <si>
    <t xml:space="preserve">118000</t>
  </si>
  <si>
    <t xml:space="preserve">NHP-0099</t>
  </si>
  <si>
    <t xml:space="preserve">CUST-7482</t>
  </si>
  <si>
    <t xml:space="preserve">502000</t>
  </si>
  <si>
    <t xml:space="preserve">NHP-0100</t>
  </si>
  <si>
    <t xml:space="preserve">CUST-5040</t>
  </si>
  <si>
    <t xml:space="preserve">1200000</t>
  </si>
  <si>
    <t xml:space="preserve">NHP-0101</t>
  </si>
  <si>
    <t xml:space="preserve">86000</t>
  </si>
  <si>
    <t xml:space="preserve">NHP-0102</t>
  </si>
  <si>
    <t xml:space="preserve">03-06-2026</t>
  </si>
  <si>
    <t xml:space="preserve">08-06-2026</t>
  </si>
  <si>
    <t xml:space="preserve">NHP-0103</t>
  </si>
  <si>
    <t xml:space="preserve">CUST-7304</t>
  </si>
  <si>
    <t xml:space="preserve">547000</t>
  </si>
  <si>
    <t xml:space="preserve">14-06-2026</t>
  </si>
  <si>
    <t xml:space="preserve">NHP-0104</t>
  </si>
  <si>
    <t xml:space="preserve">CUST-6820</t>
  </si>
  <si>
    <t xml:space="preserve">904000</t>
  </si>
  <si>
    <t xml:space="preserve">13-06-2026</t>
  </si>
  <si>
    <t xml:space="preserve">NHP-0105</t>
  </si>
  <si>
    <t xml:space="preserve">CUST-7873</t>
  </si>
  <si>
    <t xml:space="preserve">660000</t>
  </si>
  <si>
    <t xml:space="preserve">19-06-2026</t>
  </si>
  <si>
    <t xml:space="preserve">NHP-0106</t>
  </si>
  <si>
    <t xml:space="preserve">CUST-9085</t>
  </si>
  <si>
    <t xml:space="preserve">527000</t>
  </si>
  <si>
    <t xml:space="preserve">23-06-2026</t>
  </si>
  <si>
    <t xml:space="preserve">24-06-2026</t>
  </si>
  <si>
    <t xml:space="preserve">28-06-2026</t>
  </si>
  <si>
    <t xml:space="preserve">NHP-0107</t>
  </si>
  <si>
    <t xml:space="preserve">CUST-7924</t>
  </si>
  <si>
    <t xml:space="preserve">187000</t>
  </si>
  <si>
    <t xml:space="preserve">NHP-0108</t>
  </si>
  <si>
    <t xml:space="preserve"> NHP-0109 </t>
  </si>
  <si>
    <t xml:space="preserve">1229000</t>
  </si>
  <si>
    <t xml:space="preserve">NHP-0110</t>
  </si>
  <si>
    <t xml:space="preserve">583000</t>
  </si>
  <si>
    <t xml:space="preserve">NHP-0111</t>
  </si>
  <si>
    <t xml:space="preserve">819000</t>
  </si>
  <si>
    <t xml:space="preserve">30-06-2026</t>
  </si>
  <si>
    <t xml:space="preserve">NHP-0112</t>
  </si>
  <si>
    <t xml:space="preserve">878000</t>
  </si>
  <si>
    <t xml:space="preserve">NHP-0113</t>
  </si>
  <si>
    <t xml:space="preserve">CUST-5386</t>
  </si>
  <si>
    <t xml:space="preserve">NHP-0114</t>
  </si>
  <si>
    <t xml:space="preserve">CUST-9935</t>
  </si>
  <si>
    <t xml:space="preserve">505000</t>
  </si>
  <si>
    <t xml:space="preserve">NHP-0115</t>
  </si>
  <si>
    <t xml:space="preserve">99000</t>
  </si>
  <si>
    <t xml:space="preserve">NHP-0116</t>
  </si>
  <si>
    <t xml:space="preserve">CUST-1053</t>
  </si>
  <si>
    <t xml:space="preserve">4408000</t>
  </si>
  <si>
    <t xml:space="preserve">NHP-0117</t>
  </si>
  <si>
    <t xml:space="preserve">CUST-8527</t>
  </si>
  <si>
    <t xml:space="preserve">476000</t>
  </si>
  <si>
    <t xml:space="preserve">NHP-0118</t>
  </si>
  <si>
    <t xml:space="preserve">1114000</t>
  </si>
  <si>
    <t xml:space="preserve">NHP-0119</t>
  </si>
  <si>
    <t xml:space="preserve">NHP-0120</t>
  </si>
  <si>
    <t xml:space="preserve">CUST-3803</t>
  </si>
  <si>
    <t xml:space="preserve">573000</t>
  </si>
  <si>
    <t xml:space="preserve">20-06-2026</t>
  </si>
  <si>
    <t xml:space="preserve">17-06-2026</t>
  </si>
  <si>
    <t xml:space="preserve">NHP-0121</t>
  </si>
  <si>
    <t xml:space="preserve">NHP-0122</t>
  </si>
  <si>
    <t xml:space="preserve">440000</t>
  </si>
  <si>
    <t xml:space="preserve">NHP-0123</t>
  </si>
  <si>
    <t xml:space="preserve">210000</t>
  </si>
  <si>
    <t xml:space="preserve">NHP-0124</t>
  </si>
  <si>
    <t xml:space="preserve">CUST-8359</t>
  </si>
  <si>
    <t xml:space="preserve">1239000</t>
  </si>
  <si>
    <t xml:space="preserve">04-07-2026</t>
  </si>
  <si>
    <t xml:space="preserve">NHP-0125</t>
  </si>
  <si>
    <t xml:space="preserve">NHP-0126</t>
  </si>
  <si>
    <t xml:space="preserve">CUST-3927</t>
  </si>
  <si>
    <t xml:space="preserve">212000</t>
  </si>
  <si>
    <t xml:space="preserve">NHP-0127</t>
  </si>
  <si>
    <t xml:space="preserve">220000</t>
  </si>
  <si>
    <t xml:space="preserve">NHP-0128</t>
  </si>
  <si>
    <t xml:space="preserve">682000</t>
  </si>
  <si>
    <t xml:space="preserve">NHP-0129</t>
  </si>
  <si>
    <t xml:space="preserve">CUST-5010</t>
  </si>
  <si>
    <t xml:space="preserve">844000</t>
  </si>
  <si>
    <t xml:space="preserve">02-07-2026</t>
  </si>
  <si>
    <t xml:space="preserve">07-07-2026</t>
  </si>
  <si>
    <t xml:space="preserve">NHP-0130</t>
  </si>
  <si>
    <t xml:space="preserve">245000</t>
  </si>
  <si>
    <t xml:space="preserve">NHP-0131</t>
  </si>
  <si>
    <t xml:space="preserve">720000</t>
  </si>
  <si>
    <t xml:space="preserve">27-06-2026</t>
  </si>
  <si>
    <t xml:space="preserve">NHP-0132</t>
  </si>
  <si>
    <t xml:space="preserve">CUST-7201</t>
  </si>
  <si>
    <t xml:space="preserve">NHP-0133</t>
  </si>
  <si>
    <t xml:space="preserve">1053000</t>
  </si>
  <si>
    <t xml:space="preserve">12-07-2026</t>
  </si>
  <si>
    <t xml:space="preserve">pending </t>
  </si>
  <si>
    <t xml:space="preserve">NHP-0134</t>
  </si>
  <si>
    <t xml:space="preserve">NHP-0135</t>
  </si>
  <si>
    <t xml:space="preserve">207000</t>
  </si>
  <si>
    <t xml:space="preserve">NHP-0136</t>
  </si>
  <si>
    <t xml:space="preserve">645000</t>
  </si>
  <si>
    <t xml:space="preserve">NHP-0137</t>
  </si>
  <si>
    <t xml:space="preserve">356000</t>
  </si>
  <si>
    <t xml:space="preserve">NHP-0138</t>
  </si>
  <si>
    <t xml:space="preserve">CUST-2654</t>
  </si>
  <si>
    <t xml:space="preserve">268000</t>
  </si>
  <si>
    <t xml:space="preserve">01-07-2026</t>
  </si>
  <si>
    <t xml:space="preserve">NHP-0139</t>
  </si>
  <si>
    <t xml:space="preserve">CUST-2040</t>
  </si>
  <si>
    <t xml:space="preserve">Rs. 216,000</t>
  </si>
  <si>
    <t xml:space="preserve">NHP-0140</t>
  </si>
  <si>
    <t xml:space="preserve">CUST-9797</t>
  </si>
  <si>
    <t xml:space="preserve">1910000</t>
  </si>
  <si>
    <t xml:space="preserve">NHP-0141</t>
  </si>
  <si>
    <t xml:space="preserve">CUST-2535</t>
  </si>
  <si>
    <t xml:space="preserve">139000</t>
  </si>
  <si>
    <t xml:space="preserve">NHP-0142</t>
  </si>
  <si>
    <t xml:space="preserve">313000</t>
  </si>
  <si>
    <t xml:space="preserve">03-07-2026</t>
  </si>
  <si>
    <t xml:space="preserve">08-07-2026</t>
  </si>
  <si>
    <t xml:space="preserve">NHP-0143</t>
  </si>
  <si>
    <t xml:space="preserve">CUST-5803</t>
  </si>
  <si>
    <t xml:space="preserve">NHP-0144</t>
  </si>
  <si>
    <t xml:space="preserve">18-07-2026</t>
  </si>
  <si>
    <t xml:space="preserve">23-07-2026</t>
  </si>
  <si>
    <t xml:space="preserve"> NHP-0145 </t>
  </si>
  <si>
    <t xml:space="preserve">CUST-1525</t>
  </si>
  <si>
    <t xml:space="preserve">103000</t>
  </si>
  <si>
    <t xml:space="preserve">NHP-0146</t>
  </si>
  <si>
    <t xml:space="preserve">1758000</t>
  </si>
  <si>
    <t xml:space="preserve">06-07-2026</t>
  </si>
  <si>
    <t xml:space="preserve">11-07-2026</t>
  </si>
  <si>
    <t xml:space="preserve">NHP-0147</t>
  </si>
  <si>
    <t xml:space="preserve">CUST-8668</t>
  </si>
  <si>
    <t xml:space="preserve">165000</t>
  </si>
  <si>
    <t xml:space="preserve">NHP-0148</t>
  </si>
  <si>
    <t xml:space="preserve">432000</t>
  </si>
  <si>
    <t xml:space="preserve">05-07-2026</t>
  </si>
  <si>
    <t xml:space="preserve">NHP-0149</t>
  </si>
  <si>
    <t xml:space="preserve">115000</t>
  </si>
  <si>
    <t xml:space="preserve">NHP-0150</t>
  </si>
  <si>
    <t xml:space="preserve">396000</t>
  </si>
  <si>
    <t xml:space="preserve">14-07-2026</t>
  </si>
  <si>
    <t xml:space="preserve">19-07-2026</t>
  </si>
  <si>
    <t xml:space="preserve">NHP-0151</t>
  </si>
  <si>
    <t xml:space="preserve">CUST-9201</t>
  </si>
  <si>
    <t xml:space="preserve">698000</t>
  </si>
  <si>
    <t xml:space="preserve">16-07-2026</t>
  </si>
  <si>
    <t xml:space="preserve">NHP-0152</t>
  </si>
  <si>
    <t xml:space="preserve">2928000</t>
  </si>
  <si>
    <t xml:space="preserve">27-07-2026</t>
  </si>
  <si>
    <t xml:space="preserve">01-08-2026</t>
  </si>
  <si>
    <t xml:space="preserve">NHP-0153</t>
  </si>
  <si>
    <t xml:space="preserve">CUST-8517</t>
  </si>
  <si>
    <t xml:space="preserve">473000</t>
  </si>
  <si>
    <t xml:space="preserve">25-07-2026</t>
  </si>
  <si>
    <t xml:space="preserve">30-07-2026</t>
  </si>
  <si>
    <t xml:space="preserve">NHP-0154</t>
  </si>
  <si>
    <t xml:space="preserve">1614000</t>
  </si>
  <si>
    <t xml:space="preserve">NHP-0155</t>
  </si>
  <si>
    <t xml:space="preserve">121000</t>
  </si>
  <si>
    <t xml:space="preserve">NHP-0156</t>
  </si>
  <si>
    <t xml:space="preserve">10-07-2026</t>
  </si>
  <si>
    <t xml:space="preserve">NHP-0157</t>
  </si>
  <si>
    <t xml:space="preserve">CUST-5333</t>
  </si>
  <si>
    <t xml:space="preserve">166000</t>
  </si>
  <si>
    <t xml:space="preserve">09-07-2026</t>
  </si>
  <si>
    <t xml:space="preserve">NHP-0158</t>
  </si>
  <si>
    <t xml:space="preserve">758000</t>
  </si>
  <si>
    <t xml:space="preserve">NHP-0159</t>
  </si>
  <si>
    <t xml:space="preserve">2280000</t>
  </si>
  <si>
    <t xml:space="preserve">29-07-2026</t>
  </si>
  <si>
    <t xml:space="preserve">03-08-2026</t>
  </si>
  <si>
    <t xml:space="preserve">NHP-0160</t>
  </si>
  <si>
    <t xml:space="preserve">1012000</t>
  </si>
  <si>
    <t xml:space="preserve">24-07-2026</t>
  </si>
  <si>
    <t xml:space="preserve">Order_ID</t>
  </si>
  <si>
    <t xml:space="preserve">Order_Date</t>
  </si>
  <si>
    <t xml:space="preserve">Customer_Ref</t>
  </si>
  <si>
    <t xml:space="preserve">Customer_Type</t>
  </si>
  <si>
    <t xml:space="preserve">Product_Category</t>
  </si>
  <si>
    <t xml:space="preserve">Order_Value_INR</t>
  </si>
  <si>
    <t xml:space="preserve">Expected_Delivery_Date</t>
  </si>
  <si>
    <t xml:space="preserve">Dispatch_Date</t>
  </si>
  <si>
    <t xml:space="preserve">Actual_Delivery_Date</t>
  </si>
  <si>
    <t xml:space="preserve">Expected_Installation_Date</t>
  </si>
  <si>
    <t xml:space="preserve">Actual_Installation_Date</t>
  </si>
  <si>
    <t xml:space="preserve">Order_Status</t>
  </si>
  <si>
    <t xml:space="preserve">Delivery_Delay_Reason</t>
  </si>
  <si>
    <t xml:space="preserve">Installation_Delay_Reason</t>
  </si>
  <si>
    <t xml:space="preserve">Cancellation_Reason</t>
  </si>
  <si>
    <t xml:space="preserve">Operational_Notes</t>
  </si>
  <si>
    <t xml:space="preserve">DQ_Flag</t>
  </si>
  <si>
    <t xml:space="preserve">Valid_Dispatch_Timing</t>
  </si>
  <si>
    <t xml:space="preserve">Valid_Delivery_Timing</t>
  </si>
  <si>
    <t xml:space="preserve">Valid_Install_Timing</t>
  </si>
  <si>
    <t xml:space="preserve">Order_Month</t>
  </si>
  <si>
    <t xml:space="preserve">Delivery_Due</t>
  </si>
  <si>
    <t xml:space="preserve">Delivered</t>
  </si>
  <si>
    <t xml:space="preserve">Delivery_Delay_Days</t>
  </si>
  <si>
    <t xml:space="preserve">Delivery_Timeliness</t>
  </si>
  <si>
    <t xml:space="preserve">Install_Due</t>
  </si>
  <si>
    <t xml:space="preserve">Installed</t>
  </si>
  <si>
    <t xml:space="preserve">Install_Delay_Days</t>
  </si>
  <si>
    <t xml:space="preserve">Install_Timeliness</t>
  </si>
  <si>
    <t xml:space="preserve">Production_Days</t>
  </si>
  <si>
    <t xml:space="preserve">Transit_Days</t>
  </si>
  <si>
    <t xml:space="preserve">Install_Lead_Days</t>
  </si>
  <si>
    <t xml:space="preserve">Order_To_Delivery_Days</t>
  </si>
  <si>
    <t xml:space="preserve">Order_Cycle_Days</t>
  </si>
  <si>
    <t xml:space="preserve">Current_Stage</t>
  </si>
  <si>
    <t xml:space="preserve">Days_Overdue</t>
  </si>
  <si>
    <t xml:space="preserve">Overdue_Stage</t>
  </si>
  <si>
    <t xml:space="preserve">In_Dashboard_Filter</t>
  </si>
  <si>
    <t xml:space="preserve">Overdue_Rank_Key</t>
  </si>
  <si>
    <t xml:space="preserve">Dark headers = validated input values. Teal headers = formulas (do not type over).</t>
  </si>
  <si>
    <t xml:space="preserve">OK</t>
  </si>
  <si>
    <t xml:space="preserve">Installed before delivery</t>
  </si>
  <si>
    <t xml:space="preserve">Invalid Delivery Date</t>
  </si>
  <si>
    <t xml:space="preserve">NHP-0016</t>
  </si>
  <si>
    <t xml:space="preserve">Cancelled after delivery (returned)</t>
  </si>
  <si>
    <t xml:space="preserve">NHP-0032</t>
  </si>
  <si>
    <t xml:space="preserve">Order value missing</t>
  </si>
  <si>
    <t xml:space="preserve">Dispatch before order date</t>
  </si>
  <si>
    <t xml:space="preserve">NHP-0109</t>
  </si>
  <si>
    <t xml:space="preserve">Completed but installation date missing</t>
  </si>
  <si>
    <t xml:space="preserve">NHP-0145</t>
  </si>
  <si>
    <t xml:space="preserve">KPI ANALYSIS - all results are live formulas on CLEANED DATA</t>
  </si>
  <si>
    <t xml:space="preserve">Report as-of date  ►</t>
  </si>
  <si>
    <t xml:space="preserve">Yellow = editable input. End of the Jan-Jun 2026 review period. 'Due' and 'overdue' are judged against this date, never against today's date.</t>
  </si>
  <si>
    <t xml:space="preserve">#</t>
  </si>
  <si>
    <t xml:space="preserve">KPI</t>
  </si>
  <si>
    <t xml:space="preserve">Result</t>
  </si>
  <si>
    <t xml:space="preserve">Unit</t>
  </si>
  <si>
    <t xml:space="preserve">Numerator</t>
  </si>
  <si>
    <t xml:space="preserve">Denominator</t>
  </si>
  <si>
    <t xml:space="preserve">Formula (plain English)</t>
  </si>
  <si>
    <t xml:space="preserve">Business meaning</t>
  </si>
  <si>
    <t xml:space="preserve">Applicable records / exclusions</t>
  </si>
  <si>
    <t xml:space="preserve">Interpretation (data as of 30-Jun-2026)</t>
  </si>
  <si>
    <t xml:space="preserve">A. ORDER MANAGEMENT</t>
  </si>
  <si>
    <t xml:space="preserve">Total Orders</t>
  </si>
  <si>
    <t xml:space="preserve">count</t>
  </si>
  <si>
    <t xml:space="preserve">Count of unique Order IDs</t>
  </si>
  <si>
    <t xml:space="preserve">Size of the workload in the period</t>
  </si>
  <si>
    <t xml:space="preserve">All 160 cleaned orders (3 duplicate rows already removed)</t>
  </si>
  <si>
    <t xml:space="preserve">160 orders booked Jan-Jun 2026.</t>
  </si>
  <si>
    <t xml:space="preserve">Completed Orders</t>
  </si>
  <si>
    <t xml:space="preserve">Orders with status Completed (= installed)</t>
  </si>
  <si>
    <t xml:space="preserve">Orders fully delivered and installed</t>
  </si>
  <si>
    <t xml:space="preserve">Status = Completed</t>
  </si>
  <si>
    <t xml:space="preserve">121 orders fully closed.</t>
  </si>
  <si>
    <t xml:space="preserve">Pending Orders</t>
  </si>
  <si>
    <t xml:space="preserve">Orders with status Pending</t>
  </si>
  <si>
    <t xml:space="preserve">Open orders still being worked on</t>
  </si>
  <si>
    <t xml:space="preserve">Status = Pending ('In Progress' standardised to Pending)</t>
  </si>
  <si>
    <t xml:space="preserve">30 orders still open.</t>
  </si>
  <si>
    <t xml:space="preserve">Cancelled Orders</t>
  </si>
  <si>
    <t xml:space="preserve">Orders with status Cancelled</t>
  </si>
  <si>
    <t xml:space="preserve">Lost or withdrawn orders</t>
  </si>
  <si>
    <t xml:space="preserve">Status = Cancelled</t>
  </si>
  <si>
    <t xml:space="preserve">9 cancellations - excluded from every delivery and installation KPI.</t>
  </si>
  <si>
    <t xml:space="preserve">✓</t>
  </si>
  <si>
    <t xml:space="preserve">Status reconciliation check</t>
  </si>
  <si>
    <t xml:space="preserve">check</t>
  </si>
  <si>
    <t xml:space="preserve">Completed + Pending + Cancelled = Total</t>
  </si>
  <si>
    <t xml:space="preserve">Proves no order is lost or double counted</t>
  </si>
  <si>
    <t xml:space="preserve">All orders</t>
  </si>
  <si>
    <t xml:space="preserve">Must always read OK.</t>
  </si>
  <si>
    <t xml:space="preserve">Active (non-cancelled) Orders</t>
  </si>
  <si>
    <t xml:space="preserve">Total - Cancelled</t>
  </si>
  <si>
    <t xml:space="preserve">Orders the business still has to fulfil</t>
  </si>
  <si>
    <t xml:space="preserve">Excludes cancelled</t>
  </si>
  <si>
    <t xml:space="preserve">151 orders.</t>
  </si>
  <si>
    <t xml:space="preserve">Order Completion Rate</t>
  </si>
  <si>
    <t xml:space="preserve">%</t>
  </si>
  <si>
    <t xml:space="preserve">Completed ÷ Active (non-cancelled) orders</t>
  </si>
  <si>
    <t xml:space="preserve">Share of committed orders that are fully closed</t>
  </si>
  <si>
    <t xml:space="preserve">Cancelled orders removed from the denominator; recent orders not yet due still count as open</t>
  </si>
  <si>
    <t xml:space="preserve">80.1%. Lower in June because many June orders are not due yet - read together with Overdue Orders.</t>
  </si>
  <si>
    <t xml:space="preserve">Cancellation Rate</t>
  </si>
  <si>
    <t xml:space="preserve">Cancelled ÷ Total orders</t>
  </si>
  <si>
    <t xml:space="preserve">Lost demand</t>
  </si>
  <si>
    <t xml:space="preserve">5.6%; every cancellation has a recorded reason.</t>
  </si>
  <si>
    <t xml:space="preserve">Current Order Backlog (orders)</t>
  </si>
  <si>
    <t xml:space="preserve">Pending orders on the report date</t>
  </si>
  <si>
    <t xml:space="preserve">Open work still to deliver and/or install</t>
  </si>
  <si>
    <t xml:space="preserve">Status = Pending</t>
  </si>
  <si>
    <t xml:space="preserve">30 open orders; 9 of them are overdue (see D).</t>
  </si>
  <si>
    <t xml:space="preserve">Backlog Value (INR, simulated)</t>
  </si>
  <si>
    <t xml:space="preserve">INR</t>
  </si>
  <si>
    <t xml:space="preserve">Sum of order value of Pending orders</t>
  </si>
  <si>
    <t xml:space="preserve">Revenue tied up in open orders</t>
  </si>
  <si>
    <t xml:space="preserve">Pending orders with a value</t>
  </si>
  <si>
    <t xml:space="preserve">₹2.74 crore (simulated values).</t>
  </si>
  <si>
    <t xml:space="preserve">B. DELIVERY PERFORMANCE</t>
  </si>
  <si>
    <t xml:space="preserve">Total Deliveries Due</t>
  </si>
  <si>
    <t xml:space="preserve">Non-cancelled orders with promised delivery on/before as-of date</t>
  </si>
  <si>
    <t xml:space="preserve">Deliveries the business had committed to make by now</t>
  </si>
  <si>
    <t xml:space="preserve">Excludes cancelled and orders promised after the as-of date (not yet due is NOT overdue)</t>
  </si>
  <si>
    <t xml:space="preserve">132 deliveries were due.</t>
  </si>
  <si>
    <t xml:space="preserve">Due Deliveries Completed</t>
  </si>
  <si>
    <t xml:space="preserve">Due AND delivered</t>
  </si>
  <si>
    <t xml:space="preserve">Commitments met (early, on time or late)</t>
  </si>
  <si>
    <t xml:space="preserve">Delivery_Due = 1</t>
  </si>
  <si>
    <t xml:space="preserve">130 of 132.</t>
  </si>
  <si>
    <t xml:space="preserve">Delivery Completion Rate</t>
  </si>
  <si>
    <t xml:space="preserve">Due deliveries completed ÷ Deliveries due</t>
  </si>
  <si>
    <t xml:space="preserve">Did deliveries happen at all (ignores lateness)</t>
  </si>
  <si>
    <t xml:space="preserve">Due orders only</t>
  </si>
  <si>
    <t xml:space="preserve">98.5% - almost every due delivery has happened; the issue is lateness, not missed deliveries.</t>
  </si>
  <si>
    <t xml:space="preserve">Deliveries With Valid Timing</t>
  </si>
  <si>
    <t xml:space="preserve">Delivered orders with valid promised and actual dates</t>
  </si>
  <si>
    <t xml:space="preserve">Denominator for on-time %</t>
  </si>
  <si>
    <t xml:space="preserve">Excludes cancelled, undelivered, and rows with an invalid delivery date</t>
  </si>
  <si>
    <t xml:space="preserve">134 deliveries.</t>
  </si>
  <si>
    <t xml:space="preserve">On-Time Deliveries</t>
  </si>
  <si>
    <t xml:space="preserve">Delay Days &lt;= 0 (early or on the promised date)</t>
  </si>
  <si>
    <t xml:space="preserve">Promises kept</t>
  </si>
  <si>
    <t xml:space="preserve">Timed deliveries</t>
  </si>
  <si>
    <t xml:space="preserve">97.</t>
  </si>
  <si>
    <t xml:space="preserve">Delayed Delivery Count</t>
  </si>
  <si>
    <t xml:space="preserve">Delay Days &gt; 0</t>
  </si>
  <si>
    <t xml:space="preserve">Promises missed</t>
  </si>
  <si>
    <t xml:space="preserve">37 late deliveries.</t>
  </si>
  <si>
    <t xml:space="preserve">On-Time Delivery Rate</t>
  </si>
  <si>
    <t xml:space="preserve">On-time deliveries ÷ Deliveries with valid timing</t>
  </si>
  <si>
    <t xml:space="preserve">Reliability of delivery promises</t>
  </si>
  <si>
    <t xml:space="preserve">Pending (undelivered) and cancelled orders are NOT counted as on time or late</t>
  </si>
  <si>
    <t xml:space="preserve">72.4% - roughly 1 in 4 deliveries missed the promise.</t>
  </si>
  <si>
    <t xml:space="preserve">Average Delivery Delay (late orders)</t>
  </si>
  <si>
    <t xml:space="preserve">days</t>
  </si>
  <si>
    <t xml:space="preserve">Average Delay Days where Delay Days &gt; 0</t>
  </si>
  <si>
    <t xml:space="preserve">How late a late delivery typically is</t>
  </si>
  <si>
    <t xml:space="preserve">Late deliveries only</t>
  </si>
  <si>
    <t xml:space="preserve">6.7 days; a few long component-shortage delays pull this up.</t>
  </si>
  <si>
    <t xml:space="preserve">Average Delivery Variance (all timed)</t>
  </si>
  <si>
    <t xml:space="preserve">Average Delay Days, negative = early</t>
  </si>
  <si>
    <t xml:space="preserve">Overall bias of promises</t>
  </si>
  <si>
    <t xml:space="preserve">-1.5 days - on average deliveries arrive slightly early, so the problem is concentrated, not universal.</t>
  </si>
  <si>
    <t xml:space="preserve">Maximum Delivery Delay</t>
  </si>
  <si>
    <t xml:space="preserve">Largest Delay Days</t>
  </si>
  <si>
    <t xml:space="preserve">Worst case</t>
  </si>
  <si>
    <t xml:space="preserve">60 days.</t>
  </si>
  <si>
    <t xml:space="preserve">C. INSTALLATION PERFORMANCE</t>
  </si>
  <si>
    <t xml:space="preserve">Installations Due</t>
  </si>
  <si>
    <t xml:space="preserve">Non-cancelled orders with promised installation on/before as-of date</t>
  </si>
  <si>
    <t xml:space="preserve">Installations committed by now ('scheduled' = has a promised installation date)</t>
  </si>
  <si>
    <t xml:space="preserve">Excludes cancelled and not-yet-due</t>
  </si>
  <si>
    <t xml:space="preserve">125.</t>
  </si>
  <si>
    <t xml:space="preserve">Due Installations Completed</t>
  </si>
  <si>
    <t xml:space="preserve">Due AND installed</t>
  </si>
  <si>
    <t xml:space="preserve">Installation commitments met</t>
  </si>
  <si>
    <t xml:space="preserve">Install_Due = 1</t>
  </si>
  <si>
    <t xml:space="preserve">117 of 125.</t>
  </si>
  <si>
    <t xml:space="preserve">Installation Completion Rate</t>
  </si>
  <si>
    <t xml:space="preserve">Due installations completed ÷ Installations due</t>
  </si>
  <si>
    <t xml:space="preserve">Did installations happen when they were due</t>
  </si>
  <si>
    <t xml:space="preserve">93.6% - lower than delivery completion (98.5%).</t>
  </si>
  <si>
    <t xml:space="preserve">Completed Installations (all)</t>
  </si>
  <si>
    <t xml:space="preserve">Non-cancelled orders installed</t>
  </si>
  <si>
    <t xml:space="preserve">Total installations done</t>
  </si>
  <si>
    <t xml:space="preserve">Includes early installations not yet due</t>
  </si>
  <si>
    <t xml:space="preserve">121.</t>
  </si>
  <si>
    <t xml:space="preserve">Pending Installations</t>
  </si>
  <si>
    <t xml:space="preserve">Delivered but not installed</t>
  </si>
  <si>
    <t xml:space="preserve">Machines on customer sites waiting to be commissioned</t>
  </si>
  <si>
    <t xml:space="preserve">Non-cancelled</t>
  </si>
  <si>
    <t xml:space="preserve">14 delivered units await installation.</t>
  </si>
  <si>
    <t xml:space="preserve">Installations With Valid Timing</t>
  </si>
  <si>
    <t xml:space="preserve">Installed orders with valid promised and actual dates</t>
  </si>
  <si>
    <t xml:space="preserve">Denominator for on-time install %</t>
  </si>
  <si>
    <t xml:space="preserve">Excludes 2 'installed before delivery' rows and 1 completed order with no install date</t>
  </si>
  <si>
    <t xml:space="preserve">118.</t>
  </si>
  <si>
    <t xml:space="preserve">On-Time Installation Rate</t>
  </si>
  <si>
    <t xml:space="preserve">Installations on/before promise ÷ Installations with valid timing</t>
  </si>
  <si>
    <t xml:space="preserve">Reliability of installation promises</t>
  </si>
  <si>
    <t xml:space="preserve">Timed installations</t>
  </si>
  <si>
    <t xml:space="preserve">60.2% - the weakest stage in the process.</t>
  </si>
  <si>
    <t xml:space="preserve">Average Installation Delay (late)</t>
  </si>
  <si>
    <t xml:space="preserve">Average Install Delay Days where &gt; 0</t>
  </si>
  <si>
    <t xml:space="preserve">How late a late installation is</t>
  </si>
  <si>
    <t xml:space="preserve">Late installations</t>
  </si>
  <si>
    <t xml:space="preserve">10.4 days.</t>
  </si>
  <si>
    <t xml:space="preserve">Average Installation Duration</t>
  </si>
  <si>
    <t xml:space="preserve">Average of (Installation date - Delivery date)</t>
  </si>
  <si>
    <t xml:space="preserve">Time a delivered machine waits before it is working</t>
  </si>
  <si>
    <t xml:space="preserve">Valid delivery and installation dates</t>
  </si>
  <si>
    <t xml:space="preserve">6.7 days from delivery to installation.</t>
  </si>
  <si>
    <t xml:space="preserve">D. OPERATIONAL EFFICIENCY &amp; PENDING WORK</t>
  </si>
  <si>
    <t xml:space="preserve">Average Production Time</t>
  </si>
  <si>
    <t xml:space="preserve">Average (Dispatch - Order date)</t>
  </si>
  <si>
    <t xml:space="preserve">Factory / processing time</t>
  </si>
  <si>
    <t xml:space="preserve">Valid dispatch dates, non-cancelled</t>
  </si>
  <si>
    <t xml:space="preserve">13.2 days - the largest part of the cycle.</t>
  </si>
  <si>
    <t xml:space="preserve">Average Transit Time</t>
  </si>
  <si>
    <t xml:space="preserve">Average (Delivery - Dispatch)</t>
  </si>
  <si>
    <t xml:space="preserve">Logistics time</t>
  </si>
  <si>
    <t xml:space="preserve">Valid dispatch and delivery dates</t>
  </si>
  <si>
    <t xml:space="preserve">3.1 days.</t>
  </si>
  <si>
    <t xml:space="preserve">Average Order Fulfilment Time</t>
  </si>
  <si>
    <t xml:space="preserve">Average (Delivery - Order date)</t>
  </si>
  <si>
    <t xml:space="preserve">How long customers wait for the machine</t>
  </si>
  <si>
    <t xml:space="preserve">Valid delivery dates</t>
  </si>
  <si>
    <t xml:space="preserve">16.0 days.</t>
  </si>
  <si>
    <t xml:space="preserve">Average Order Cycle Time</t>
  </si>
  <si>
    <t xml:space="preserve">Average (Installation - Order date) for completed orders</t>
  </si>
  <si>
    <t xml:space="preserve">End-to-end time to a working system</t>
  </si>
  <si>
    <t xml:space="preserve">Completed orders with valid install date</t>
  </si>
  <si>
    <t xml:space="preserve">22.4 days end to end.</t>
  </si>
  <si>
    <t xml:space="preserve">Overdue Orders</t>
  </si>
  <si>
    <t xml:space="preserve">Pending orders past the promise for their current stage</t>
  </si>
  <si>
    <t xml:space="preserve">Open orders already breaking a promise</t>
  </si>
  <si>
    <t xml:space="preserve">Pending only; orders whose promise is after the as-of date are NOT overdue</t>
  </si>
  <si>
    <t xml:space="preserve">9 overdue orders.</t>
  </si>
  <si>
    <t xml:space="preserve">  ...overdue at delivery stage</t>
  </si>
  <si>
    <t xml:space="preserve">Overdue and not yet delivered</t>
  </si>
  <si>
    <t xml:space="preserve">Factory/logistics backlog</t>
  </si>
  <si>
    <t xml:space="preserve">Overdue orders</t>
  </si>
  <si>
    <t xml:space="preserve">2.</t>
  </si>
  <si>
    <t xml:space="preserve">  ...overdue at installation stage</t>
  </si>
  <si>
    <t xml:space="preserve">Overdue and delivered, not installed</t>
  </si>
  <si>
    <t xml:space="preserve">Site/installation backlog</t>
  </si>
  <si>
    <t xml:space="preserve">7 - most overdue work is waiting for installation.</t>
  </si>
  <si>
    <t xml:space="preserve">Average Days Overdue</t>
  </si>
  <si>
    <t xml:space="preserve">Average (As-of date - promise date) for overdue orders</t>
  </si>
  <si>
    <t xml:space="preserve">How stale the overdue backlog is</t>
  </si>
  <si>
    <t xml:space="preserve">39 days on average; oldest 81 days.</t>
  </si>
  <si>
    <t xml:space="preserve">E. ORDER VALUE (simulated, illustrative)</t>
  </si>
  <si>
    <t xml:space="preserve">Total Order Value</t>
  </si>
  <si>
    <t xml:space="preserve">Sum of order value, non-cancelled</t>
  </si>
  <si>
    <t xml:space="preserve">Size of business handled</t>
  </si>
  <si>
    <t xml:space="preserve">3 orders with missing value are excluded (see next row)</t>
  </si>
  <si>
    <t xml:space="preserve">₹11.20 crore (simulated - not real revenue).</t>
  </si>
  <si>
    <t xml:space="preserve">Orders Missing a Value</t>
  </si>
  <si>
    <t xml:space="preserve">Rows with blank order value</t>
  </si>
  <si>
    <t xml:space="preserve">Completeness of value data</t>
  </si>
  <si>
    <t xml:space="preserve">3 rows - value KPIs are slightly understated.</t>
  </si>
  <si>
    <t xml:space="preserve">Completed Order Value</t>
  </si>
  <si>
    <t xml:space="preserve">Sum of order value, Completed</t>
  </si>
  <si>
    <t xml:space="preserve">Value fully delivered and installed</t>
  </si>
  <si>
    <t xml:space="preserve">Completed orders</t>
  </si>
  <si>
    <t xml:space="preserve">₹8.46 crore.</t>
  </si>
  <si>
    <t xml:space="preserve">F. DATA QUALITY</t>
  </si>
  <si>
    <t xml:space="preserve">Rows With a Data-Quality Flag</t>
  </si>
  <si>
    <t xml:space="preserve">DQ_Flag not OK</t>
  </si>
  <si>
    <t xml:space="preserve">Rows needing confirmation with the data owner</t>
  </si>
  <si>
    <t xml:space="preserve">9 rows; each is excluded only from the metric it would distort.</t>
  </si>
  <si>
    <t xml:space="preserve">Late Deliveries Without a Reason</t>
  </si>
  <si>
    <t xml:space="preserve">Late deliveries with blank reason</t>
  </si>
  <si>
    <t xml:space="preserve">Root cause cannot be analysed for these</t>
  </si>
  <si>
    <t xml:space="preserve">Late deliveries</t>
  </si>
  <si>
    <t xml:space="preserve">8 of 37 - make the reason mandatory.</t>
  </si>
  <si>
    <t xml:space="preserve">Late Installations Without a Reason</t>
  </si>
  <si>
    <t xml:space="preserve">Late installations with blank reason</t>
  </si>
  <si>
    <t xml:space="preserve">14 of 47 - make the reason mandatory.</t>
  </si>
  <si>
    <t xml:space="preserve">PIVOT ANALYSIS - formula-built summary tables (whole dataset, not filtered)</t>
  </si>
  <si>
    <t xml:space="preserve">These tables are built with COUNTIFS / AVERAGEIFS formulas so they always match CLEANED DATA. A real PivotTable + slicer can be added in 2 minutes - steps are at the bottom of this sheet.</t>
  </si>
  <si>
    <t xml:space="preserve">1. Performance by PRODUCT CATEGORY</t>
  </si>
  <si>
    <t xml:space="preserve">Orders</t>
  </si>
  <si>
    <t xml:space="preserve">Order completion %</t>
  </si>
  <si>
    <t xml:space="preserve">On-time delivery %</t>
  </si>
  <si>
    <t xml:space="preserve">Avg delay when late (d)</t>
  </si>
  <si>
    <t xml:space="preserve">On-time install %</t>
  </si>
  <si>
    <t xml:space="preserve">Avg production (d)</t>
  </si>
  <si>
    <t xml:space="preserve">Avg cycle (d)</t>
  </si>
  <si>
    <t xml:space="preserve">Order value ₹ (non-cancelled)</t>
  </si>
  <si>
    <t xml:space="preserve">Overall</t>
  </si>
  <si>
    <t xml:space="preserve">2. Performance by ORDER MONTH</t>
  </si>
  <si>
    <t xml:space="preserve">Order Month</t>
  </si>
  <si>
    <t xml:space="preserve">3. Performance by CUSTOMER TYPE</t>
  </si>
  <si>
    <t xml:space="preserve">4. Performance by REGION</t>
  </si>
  <si>
    <t xml:space="preserve">5. ORDER STATUS x CURRENT STAGE (where open work is sitting)</t>
  </si>
  <si>
    <t xml:space="preserve">Current stage</t>
  </si>
  <si>
    <t xml:space="preserve">of which overdue</t>
  </si>
  <si>
    <t xml:space="preserve">Avg days overdue</t>
  </si>
  <si>
    <t xml:space="preserve">In Production</t>
  </si>
  <si>
    <t xml:space="preserve">In Transit</t>
  </si>
  <si>
    <t xml:space="preserve">Awaiting Installation</t>
  </si>
  <si>
    <t xml:space="preserve">6. DELAY REASONS (late records only)</t>
  </si>
  <si>
    <t xml:space="preserve">Delivery delay reason</t>
  </si>
  <si>
    <t xml:space="preserve">Avg delay (d)</t>
  </si>
  <si>
    <t xml:space="preserve">Installation delay reason</t>
  </si>
  <si>
    <t xml:space="preserve">Installation scheduling</t>
  </si>
  <si>
    <t xml:space="preserve">(not recorded)</t>
  </si>
  <si>
    <t xml:space="preserve">Note: 'Dispatch scheduling' and 'Installation scheduling' are valid reason codes that were not used in this period.</t>
  </si>
  <si>
    <t xml:space="preserve">7. STAGE COMPARISON - which stage causes the most delay?</t>
  </si>
  <si>
    <t xml:space="preserve">Stage</t>
  </si>
  <si>
    <t xml:space="preserve">Avg duration (d)</t>
  </si>
  <si>
    <t xml:space="preserve">Records timed</t>
  </si>
  <si>
    <t xml:space="preserve">Late vs promise</t>
  </si>
  <si>
    <t xml:space="preserve">Late share</t>
  </si>
  <si>
    <t xml:space="preserve">Overdue open orders</t>
  </si>
  <si>
    <t xml:space="preserve">Production (order -&gt; dispatch)</t>
  </si>
  <si>
    <t xml:space="preserve">n/a (no stage promise date)</t>
  </si>
  <si>
    <t xml:space="preserve">Transit (dispatch -&gt; delivery)</t>
  </si>
  <si>
    <t xml:space="preserve">Delivery promise (customer-facing)</t>
  </si>
  <si>
    <t xml:space="preserve">Installation (delivery -&gt; installed)</t>
  </si>
  <si>
    <t xml:space="preserve">HOW TO ADD A REAL PIVOTTABLE + SLICER (Excel desktop, about 2 minutes)</t>
  </si>
  <si>
    <t xml:space="preserve">1. Go to CLEANED DATA, click any cell inside the data, press Ctrl+A.</t>
  </si>
  <si>
    <t xml:space="preserve">2. Insert &gt; PivotTable &gt; New Worksheet &gt; OK.</t>
  </si>
  <si>
    <t xml:space="preserve">3. Drag Product_Category to Rows, Order_Status to Columns, Order_ID to Values (it shows 'Count of Order_ID').</t>
  </si>
  <si>
    <t xml:space="preserve">4. Click inside the PivotTable &gt; PivotTable Analyze &gt; Insert Slicer &gt; tick Region and Customer_Type &gt; OK.</t>
  </si>
  <si>
    <t xml:space="preserve">5. Click slicer buttons to filter. The counts must match table 1 above - that is your reconciliation check.</t>
  </si>
  <si>
    <t xml:space="preserve">ORDER FULFILMENT &amp; INSTALLATION PERFORMANCE DASHBOARD</t>
  </si>
  <si>
    <t xml:space="preserve">Category</t>
  </si>
  <si>
    <t xml:space="preserve">All</t>
  </si>
  <si>
    <t xml:space="preserve">Customer</t>
  </si>
  <si>
    <t xml:space="preserve">Pick a value in the yellow boxes to filter every card, chart and list on this sheet. Choose 'All' to reset.</t>
  </si>
  <si>
    <t xml:space="preserve">TOTAL ORDERS</t>
  </si>
  <si>
    <t xml:space="preserve">ORDER COMPLETION</t>
  </si>
  <si>
    <t xml:space="preserve">OPEN BACKLOG</t>
  </si>
  <si>
    <t xml:space="preserve">ON-TIME DELIVERY</t>
  </si>
  <si>
    <t xml:space="preserve">INSTALL COMPLETION</t>
  </si>
  <si>
    <t xml:space="preserve">ON-TIME INSTALL</t>
  </si>
  <si>
    <t xml:space="preserve">OVERDUE ORDERS</t>
  </si>
  <si>
    <t xml:space="preserve">ORDER VALUE</t>
  </si>
  <si>
    <t xml:space="preserve">CHART DATA - formulas, follow the filters (do not edit)</t>
  </si>
  <si>
    <t xml:space="preserve">Order status</t>
  </si>
  <si>
    <t xml:space="preserve">Month</t>
  </si>
  <si>
    <t xml:space="preserve">On time / early</t>
  </si>
  <si>
    <t xml:space="preserve">Late</t>
  </si>
  <si>
    <t xml:space="preserve">Water Heater</t>
  </si>
  <si>
    <t xml:space="preserve">Commercial HP</t>
  </si>
  <si>
    <t xml:space="preserve">Pool HP</t>
  </si>
  <si>
    <t xml:space="preserve">Dryer</t>
  </si>
  <si>
    <t xml:space="preserve">Custom</t>
  </si>
  <si>
    <t xml:space="preserve">Installation status</t>
  </si>
  <si>
    <t xml:space="preserve">Installed on time</t>
  </si>
  <si>
    <t xml:space="preserve">Installed late</t>
  </si>
  <si>
    <t xml:space="preserve">Installed - date issue</t>
  </si>
  <si>
    <t xml:space="preserve">Awaiting install - overdue</t>
  </si>
  <si>
    <t xml:space="preserve">Awaiting install - on plan</t>
  </si>
  <si>
    <t xml:space="preserve">Not yet delivered</t>
  </si>
  <si>
    <t xml:space="preserve">Avg days</t>
  </si>
  <si>
    <t xml:space="preserve">Production</t>
  </si>
  <si>
    <t xml:space="preserve">Transit</t>
  </si>
  <si>
    <t xml:space="preserve">Delivery → install</t>
  </si>
  <si>
    <t xml:space="preserve">OUTSTANDING ORDERS - most overdue first (follows filters)</t>
  </si>
  <si>
    <t xml:space="preserve">Product</t>
  </si>
  <si>
    <t xml:space="preserve">Customer type</t>
  </si>
  <si>
    <t xml:space="preserve">Stuck at</t>
  </si>
  <si>
    <t xml:space="preserve">Days overdue</t>
  </si>
  <si>
    <t xml:space="preserve">Recorded reason</t>
  </si>
  <si>
    <t xml:space="preserve">How to read: cards = headline KPIs; charts = where the problems are; table = what to chase today. Definitions: KPI ANALYSIS sheet.</t>
  </si>
  <si>
    <t xml:space="preserve">BUSINESS FINDINGS &amp; RECOMMENDATIONS</t>
  </si>
  <si>
    <t xml:space="preserve">Findings describe SIMULATED data. Recommendations are PROPOSALS - none has been implemented, and no improvement is claimed.</t>
  </si>
  <si>
    <t xml:space="preserve">Observed result</t>
  </si>
  <si>
    <t xml:space="preserve">Supporting metric (live formula)</t>
  </si>
  <si>
    <t xml:space="preserve">Evidence type</t>
  </si>
  <si>
    <t xml:space="preserve">Possible explanation (hypothesis unless stated)</t>
  </si>
  <si>
    <t xml:space="preserve">Why it matters</t>
  </si>
  <si>
    <t xml:space="preserve">F1</t>
  </si>
  <si>
    <t xml:space="preserve">Delivery promises are missed on roughly 1 in 4 deliveries.</t>
  </si>
  <si>
    <t xml:space="preserve">Observed (calculated)</t>
  </si>
  <si>
    <t xml:space="preserve">Promised lead times may not reflect real production time for some products (hypothesis).</t>
  </si>
  <si>
    <t xml:space="preserve">Missed promises create follow-up calls and erode trust (impact not measured in this data).</t>
  </si>
  <si>
    <t xml:space="preserve">F2</t>
  </si>
  <si>
    <t xml:space="preserve">Late deliveries are concentrated in Commercial Heat Pumps and Custom Requirements.</t>
  </si>
  <si>
    <t xml:space="preserve">Longer, more variable production (avg production days are highest for these categories) and component availability (hypothesis; built into the simulation).</t>
  </si>
  <si>
    <t xml:space="preserve">Category-specific promise dates could protect on-time performance where it is weakest.</t>
  </si>
  <si>
    <t xml:space="preserve">F3</t>
  </si>
  <si>
    <t xml:space="preserve">Installation is the weakest stage of the process.</t>
  </si>
  <si>
    <t xml:space="preserve">Part of this is knock-on from late deliveries; part is installation-stage waiting (see next row).</t>
  </si>
  <si>
    <t xml:space="preserve">A machine delivered but not installed is not yet useful to the customer.</t>
  </si>
  <si>
    <t xml:space="preserve">F4</t>
  </si>
  <si>
    <t xml:space="preserve">Many late installations happened even though delivery was on time.</t>
  </si>
  <si>
    <t xml:space="preserve">Observed (calculated) + recorded reasons</t>
  </si>
  <si>
    <t xml:space="preserve">Customer site readiness (civil/electrical/plumbing work) is not confirmed before the installation slot (hypothesis supported only by reason codes).</t>
  </si>
  <si>
    <t xml:space="preserve">Fixing installation scheduling would help even when the factory delivers on time.</t>
  </si>
  <si>
    <t xml:space="preserve">F5</t>
  </si>
  <si>
    <t xml:space="preserve">Most overdue open orders are stuck at installation, and some are very old.</t>
  </si>
  <si>
    <t xml:space="preserve">No routine review of delivered-but-not-installed orders (hypothesis).</t>
  </si>
  <si>
    <t xml:space="preserve">Old overdue orders tie up value and risk cancellations (risk not measured).</t>
  </si>
  <si>
    <t xml:space="preserve">F6</t>
  </si>
  <si>
    <t xml:space="preserve">Production is the largest share of the order cycle.</t>
  </si>
  <si>
    <t xml:space="preserve">Production time varies most for Custom and Commercial orders.</t>
  </si>
  <si>
    <t xml:space="preserve">Production capacity and material planning are the biggest levers on cycle time.</t>
  </si>
  <si>
    <t xml:space="preserve">F7</t>
  </si>
  <si>
    <t xml:space="preserve">Orders to Other States are delivered on time less often.</t>
  </si>
  <si>
    <t xml:space="preserve">Observed; small sample</t>
  </si>
  <si>
    <t xml:space="preserve">Longer and less predictable transport (hypothesis; built into the simulation).</t>
  </si>
  <si>
    <t xml:space="preserve">Transit allowances for distant regions may need review.</t>
  </si>
  <si>
    <t xml:space="preserve">F8</t>
  </si>
  <si>
    <t xml:space="preserve">Delay reasons are missing on many late records.</t>
  </si>
  <si>
    <t xml:space="preserve">Reason entry is optional in the current process.</t>
  </si>
  <si>
    <t xml:space="preserve">Without reasons, root-cause work becomes guesswork.</t>
  </si>
  <si>
    <t xml:space="preserve">F9</t>
  </si>
  <si>
    <t xml:space="preserve">The raw export needed cleaning before any KPI could be trusted.</t>
  </si>
  <si>
    <t xml:space="preserve">Observed (data-quality log)</t>
  </si>
  <si>
    <t xml:space="preserve">Free-text entry and manual exports.</t>
  </si>
  <si>
    <t xml:space="preserve">Untrusted numbers lead to wrong decisions.</t>
  </si>
  <si>
    <t xml:space="preserve">RECOMMENDATIONS - prioritised by impact, effort and urgency (all are proposals)</t>
  </si>
  <si>
    <t xml:space="preserve">Addresses</t>
  </si>
  <si>
    <t xml:space="preserve">Recommendation</t>
  </si>
  <si>
    <t xml:space="preserve">Expected benefit (not verified)</t>
  </si>
  <si>
    <t xml:space="preserve">Metric to monitor improvement</t>
  </si>
  <si>
    <t xml:space="preserve">Impact</t>
  </si>
  <si>
    <t xml:space="preserve">Effort</t>
  </si>
  <si>
    <t xml:space="preserve">Urgency</t>
  </si>
  <si>
    <t xml:space="preserve">Suggested owner (role)</t>
  </si>
  <si>
    <t xml:space="preserve">R1</t>
  </si>
  <si>
    <t xml:space="preserve">Daily 10-minute review of every overdue and delivered-not-installed order: owner, next step, revised date, customer informed (Y/N).</t>
  </si>
  <si>
    <t xml:space="preserve">Fewer orders forgotten after delivery; earlier customer communication.</t>
  </si>
  <si>
    <t xml:space="preserve">Overdue Orders; Average Days Overdue; Pending Installations</t>
  </si>
  <si>
    <t xml:space="preserve">High</t>
  </si>
  <si>
    <t xml:space="preserve">Low</t>
  </si>
  <si>
    <t xml:space="preserve">Immediate (week 1)</t>
  </si>
  <si>
    <t xml:space="preserve">Operations coordinator</t>
  </si>
  <si>
    <t xml:space="preserve">R2</t>
  </si>
  <si>
    <t xml:space="preserve">F3, F4</t>
  </si>
  <si>
    <t xml:space="preserve">Pre-installation readiness call/checklist 3-5 days before delivery (site, electrical, plumbing, access). Book the installation slot only after readiness is confirmed.</t>
  </si>
  <si>
    <t xml:space="preserve">Expected to reduce installations delayed by 'Customer site not ready'.</t>
  </si>
  <si>
    <t xml:space="preserve">On-Time Installation Rate; late installs with reason 'Customer site not ready'</t>
  </si>
  <si>
    <t xml:space="preserve">Within 2 weeks</t>
  </si>
  <si>
    <t xml:space="preserve">Installation supervisor + customer service</t>
  </si>
  <si>
    <t xml:space="preserve">R3</t>
  </si>
  <si>
    <t xml:space="preserve">F2, F6</t>
  </si>
  <si>
    <t xml:space="preserve">Set promise dates by product category using actual production times (e.g. median + buffer) instead of one standard lead time.</t>
  </si>
  <si>
    <t xml:space="preserve">Promises that match capacity; higher on-time delivery for Commercial and Custom orders.</t>
  </si>
  <si>
    <t xml:space="preserve">On-time delivery % by category; gap between promised and actual lead time</t>
  </si>
  <si>
    <t xml:space="preserve">Medium</t>
  </si>
  <si>
    <t xml:space="preserve">Within 1 month</t>
  </si>
  <si>
    <t xml:space="preserve">Sales operations + production planning</t>
  </si>
  <si>
    <t xml:space="preserve">R4</t>
  </si>
  <si>
    <t xml:space="preserve">Check component availability at order acceptance for Custom and Commercial orders; flag at-risk orders before a date is promised.</t>
  </si>
  <si>
    <t xml:space="preserve">Fewer long component-shortage delays.</t>
  </si>
  <si>
    <t xml:space="preserve">Late deliveries with reason 'Component shortage'; max delivery delay</t>
  </si>
  <si>
    <t xml:space="preserve">1-2 months</t>
  </si>
  <si>
    <t xml:space="preserve">Procurement / stores</t>
  </si>
  <si>
    <t xml:space="preserve">R5</t>
  </si>
  <si>
    <t xml:space="preserve">Make the delay reason a mandatory dropdown whenever a delivery or installation date passes its promise.</t>
  </si>
  <si>
    <t xml:space="preserve">Root causes become measurable.</t>
  </si>
  <si>
    <t xml:space="preserve">% of late records with a reason (target to discuss: 100%)</t>
  </si>
  <si>
    <t xml:space="preserve">Operations analyst / data owner</t>
  </si>
  <si>
    <t xml:space="preserve">R6</t>
  </si>
  <si>
    <t xml:space="preserve">Improve order tracking: one tracker with standard status values, real date fields (no text dates), dispatch date and a duplicate-ID check.</t>
  </si>
  <si>
    <t xml:space="preserve">Clean data at source; less manual cleaning.</t>
  </si>
  <si>
    <t xml:space="preserve">Rows with data-quality flags per month (target: 0)</t>
  </si>
  <si>
    <t xml:space="preserve">1 month</t>
  </si>
  <si>
    <t xml:space="preserve">Operations analyst</t>
  </si>
  <si>
    <t xml:space="preserve">R7</t>
  </si>
  <si>
    <t xml:space="preserve">F3, F5</t>
  </si>
  <si>
    <t xml:space="preserve">Installation scheduling: keep a shared technician calendar and plan capacity for busy months (only 4 'Technician availability' cases - a precaution, not a proven fix).</t>
  </si>
  <si>
    <t xml:space="preserve">Installations booked against real capacity.</t>
  </si>
  <si>
    <t xml:space="preserve">Install lead days (delivery-&gt;install); late installs with reason 'Technician availability'</t>
  </si>
  <si>
    <t xml:space="preserve">Before next peak season</t>
  </si>
  <si>
    <t xml:space="preserve">Installation supervisor</t>
  </si>
  <si>
    <t xml:space="preserve">R8</t>
  </si>
  <si>
    <t xml:space="preserve">F1-F8</t>
  </si>
  <si>
    <t xml:space="preserve">Weekly operations KPI report from this workbook: on-time delivery, on-time installation, overdue orders, backlog, reason completeness.</t>
  </si>
  <si>
    <t xml:space="preserve">Problems seen weekly instead of at month end.</t>
  </si>
  <si>
    <t xml:space="preserve">Report issued every week; actions closed on time</t>
  </si>
  <si>
    <t xml:space="preserve">Start now</t>
  </si>
  <si>
    <t xml:space="preserve">R9</t>
  </si>
  <si>
    <t xml:space="preserve">Review transit allowance for Other States and agree pickup dates with transporters at dispatch.</t>
  </si>
  <si>
    <t xml:space="preserve">More reliable delivery promises outside Karnataka.</t>
  </si>
  <si>
    <t xml:space="preserve">On-time delivery % for Other States; average transit days</t>
  </si>
  <si>
    <t xml:space="preserve">Dispatch / logistics</t>
  </si>
  <si>
    <t xml:space="preserve">Limitations: simulated data; patterns such as longer custom-order production were assumptions built into the simulation, so they illustrate the method rather than reveal real causes. Category and region groups contain 17-49 timed deliveries each - treat small differences with caution.</t>
  </si>
  <si>
    <t xml:space="preserve">DATA QUALITY LOG - checks, rules and every change made</t>
  </si>
  <si>
    <t xml:space="preserve">Part 1 - Live checks on CLEANED DATA (formulas)</t>
  </si>
  <si>
    <t xml:space="preserve">Check</t>
  </si>
  <si>
    <t xml:space="preserve">Expected</t>
  </si>
  <si>
    <t xml:space="preserve">Unique orders</t>
  </si>
  <si>
    <t xml:space="preserve">160</t>
  </si>
  <si>
    <t xml:space="preserve">INFO</t>
  </si>
  <si>
    <t xml:space="preserve">Duplicate Order IDs</t>
  </si>
  <si>
    <t xml:space="preserve">0</t>
  </si>
  <si>
    <t xml:space="preserve">Status outside Completed/Pending/Cancelled</t>
  </si>
  <si>
    <t xml:space="preserve">Category outside standard list</t>
  </si>
  <si>
    <t xml:space="preserve">Missing order date</t>
  </si>
  <si>
    <t xml:space="preserve">Completed orders without delivery date</t>
  </si>
  <si>
    <t xml:space="preserve">1 (invalid date set blank)</t>
  </si>
  <si>
    <t xml:space="preserve">Pending orders counted as installed</t>
  </si>
  <si>
    <t xml:space="preserve">Cancelled orders inside delivery timing KPIs</t>
  </si>
  <si>
    <t xml:space="preserve">Negative production/transit/install durations used</t>
  </si>
  <si>
    <t xml:space="preserve">Orders overdue although promise is after as-of date</t>
  </si>
  <si>
    <t xml:space="preserve">Rows with a data-quality flag</t>
  </si>
  <si>
    <t xml:space="preserve">9 (documented below)</t>
  </si>
  <si>
    <t xml:space="preserve">Part 2 - Cleaning rules applied</t>
  </si>
  <si>
    <t xml:space="preserve">Rule</t>
  </si>
  <si>
    <t xml:space="preserve">Situation</t>
  </si>
  <si>
    <t xml:space="preserve">Action</t>
  </si>
  <si>
    <t xml:space="preserve">Why</t>
  </si>
  <si>
    <t xml:space="preserve">Spaces before/after Order ID</t>
  </si>
  <si>
    <t xml:space="preserve">Trimmed</t>
  </si>
  <si>
    <t xml:space="preserve">Prevents false duplicates and failed lookups</t>
  </si>
  <si>
    <t xml:space="preserve">Exact duplicate rows (double export)</t>
  </si>
  <si>
    <t xml:space="preserve">Removed second copy (3 rows)</t>
  </si>
  <si>
    <t xml:space="preserve">Each order counted once</t>
  </si>
  <si>
    <t xml:space="preserve">Spelling variants of status, category, customer type</t>
  </si>
  <si>
    <t xml:space="preserve">Mapped to one standard value; 'In Progress' = Pending</t>
  </si>
  <si>
    <t xml:space="preserve">COUNTIFS needs exact labels</t>
  </si>
  <si>
    <t xml:space="preserve">Dates as text, mixed formats, impossible date (31-02-2026)</t>
  </si>
  <si>
    <t xml:space="preserve">Converted to real dates; impossible date set blank and row flagged</t>
  </si>
  <si>
    <t xml:space="preserve">Never guess a date</t>
  </si>
  <si>
    <t xml:space="preserve">Order value blank or typed as 'Rs. 2,45,000'</t>
  </si>
  <si>
    <t xml:space="preserve">Text stripped to a number; blanks kept blank</t>
  </si>
  <si>
    <t xml:space="preserve">Value KPIs exclude blanks only</t>
  </si>
  <si>
    <t xml:space="preserve">Impossible sequence (installed before delivery; dispatched before order)</t>
  </si>
  <si>
    <t xml:space="preserve">Original dates kept; row excluded only from the affected duration/timing KPI</t>
  </si>
  <si>
    <t xml:space="preserve">Do not silently overwrite business data; confirm with owner</t>
  </si>
  <si>
    <t xml:space="preserve">Completed order with no installation date</t>
  </si>
  <si>
    <t xml:space="preserve">Status kept (system of record); excluded from installation timing; flagged</t>
  </si>
  <si>
    <t xml:space="preserve">Completion cannot be timed without a date</t>
  </si>
  <si>
    <t xml:space="preserve">Cancelled order that had been delivered (returned unit)</t>
  </si>
  <si>
    <t xml:space="preserve">Kept as Cancelled; excluded from delivery KPIs; not counted as a delivery failure</t>
  </si>
  <si>
    <t xml:space="preserve">Cancellation is not a delivery failure</t>
  </si>
  <si>
    <t xml:space="preserve">Late record with no delay reason</t>
  </si>
  <si>
    <t xml:space="preserve">Left blank, reported as a completeness gap</t>
  </si>
  <si>
    <t xml:space="preserve">Reasons are never invented</t>
  </si>
  <si>
    <t xml:space="preserve">R10</t>
  </si>
  <si>
    <t xml:space="preserve">Promise date after the as-of date</t>
  </si>
  <si>
    <t xml:space="preserve">Treated as 'not yet due', never overdue</t>
  </si>
  <si>
    <t xml:space="preserve">Future promises cannot be broken yet</t>
  </si>
  <si>
    <t xml:space="preserve">Part 3 - Cleaning log (every changed or flagged cell)</t>
  </si>
  <si>
    <t xml:space="preserve">Field</t>
  </si>
  <si>
    <t xml:space="preserve">Original value</t>
  </si>
  <si>
    <t xml:space="preserve">Cleaned value</t>
  </si>
  <si>
    <t xml:space="preserve">Rule applied</t>
  </si>
  <si>
    <t xml:space="preserve">' NHP-0016 '</t>
  </si>
  <si>
    <t xml:space="preserve">R1 Trim leading/trailing spaces</t>
  </si>
  <si>
    <t xml:space="preserve">' NHP-0032 '</t>
  </si>
  <si>
    <t xml:space="preserve">' NHP-0109 '</t>
  </si>
  <si>
    <t xml:space="preserve">' NHP-0145 '</t>
  </si>
  <si>
    <t xml:space="preserve">(whole row)</t>
  </si>
  <si>
    <t xml:space="preserve">duplicate copy</t>
  </si>
  <si>
    <t xml:space="preserve">removed</t>
  </si>
  <si>
    <t xml:space="preserve">R2 Remove exact duplicate row (kept first copy)</t>
  </si>
  <si>
    <t xml:space="preserve">R3 Standardise status label ('In Progress' treated as Pending)</t>
  </si>
  <si>
    <t xml:space="preserve">R3 Standardise category name</t>
  </si>
  <si>
    <t xml:space="preserve">R3 Standardise customer type</t>
  </si>
  <si>
    <t xml:space="preserve">23-01-2026</t>
  </si>
  <si>
    <t xml:space="preserve">R4 Convert YYYY/MM/DD to standard date</t>
  </si>
  <si>
    <t xml:space="preserve">(blank)</t>
  </si>
  <si>
    <t xml:space="preserve">R4 Invalid calendar date - set blank, row flagged, excluded from timing KPIs</t>
  </si>
  <si>
    <t xml:space="preserve">R5 Missing value kept blank - excluded from value KPIs only</t>
  </si>
  <si>
    <t xml:space="preserve">1055000</t>
  </si>
  <si>
    <t xml:space="preserve">R5 Strip currency text and separators</t>
  </si>
  <si>
    <t xml:space="preserve">216000</t>
  </si>
  <si>
    <t xml:space="preserve">unchanged</t>
  </si>
  <si>
    <t xml:space="preserve">R6 Impossible sequence - excluded from installation timing</t>
  </si>
  <si>
    <t xml:space="preserve">R8 Genuine cancellation after delivery - excluded from delivery KPIs, not counted as a failure</t>
  </si>
  <si>
    <t xml:space="preserve">R6 Impossible sequence - excluded from production/transit time</t>
  </si>
  <si>
    <t xml:space="preserve">R7 Status kept as Completed (system of record); excluded from installation timing; confirm with installer</t>
  </si>
  <si>
    <t xml:space="preserve">RAW DATA columns (as exported)</t>
  </si>
  <si>
    <t xml:space="preserve">Column</t>
  </si>
  <si>
    <t xml:space="preserve">Type</t>
  </si>
  <si>
    <t xml:space="preserve">Description</t>
  </si>
  <si>
    <t xml:space="preserve">Example</t>
  </si>
  <si>
    <t xml:space="preserve">Text</t>
  </si>
  <si>
    <t xml:space="preserve">Order reference as typed in the export (some have stray spaces)</t>
  </si>
  <si>
    <t xml:space="preserve">Text date</t>
  </si>
  <si>
    <t xml:space="preserve">Date the order was booked. Mostly DD-MM-YYYY; a few YYYY/MM/DD</t>
  </si>
  <si>
    <t xml:space="preserve">Anonymised customer code - no names, phones or addresses</t>
  </si>
  <si>
    <t xml:space="preserve">Residential / Commercial / Institutional (some spelling variants)</t>
  </si>
  <si>
    <t xml:space="preserve">Delivery region band</t>
  </si>
  <si>
    <t xml:space="preserve">Product family ordered (some spelling variants)</t>
  </si>
  <si>
    <t xml:space="preserve">Number</t>
  </si>
  <si>
    <t xml:space="preserve">Number of machines on the order</t>
  </si>
  <si>
    <t xml:space="preserve">Text/number</t>
  </si>
  <si>
    <t xml:space="preserve">Illustrative simulated value - NOT real pricing (a few blanks or 'Rs.' text)</t>
  </si>
  <si>
    <t xml:space="preserve">485000</t>
  </si>
  <si>
    <t xml:space="preserve">Delivery date promised to the customer</t>
  </si>
  <si>
    <t xml:space="preserve">Date the unit left the factory (blank = not yet dispatched)</t>
  </si>
  <si>
    <t xml:space="preserve">Actual delivery date (blank = not yet delivered)</t>
  </si>
  <si>
    <t xml:space="preserve">Installation date promised to the customer</t>
  </si>
  <si>
    <t xml:space="preserve">Actual installation/commissioning date (blank = not installed)</t>
  </si>
  <si>
    <t xml:space="preserve">Order status as typed (Completed / Pending / Cancelled plus variants)</t>
  </si>
  <si>
    <t xml:space="preserve">Reason entered when delivery was late (often blank)</t>
  </si>
  <si>
    <t xml:space="preserve">Reason entered when installation was late (often blank)</t>
  </si>
  <si>
    <t xml:space="preserve">Reason for cancelled orders</t>
  </si>
  <si>
    <t xml:space="preserve">Short operational note - no personal data</t>
  </si>
  <si>
    <t xml:space="preserve">CLEANED DATA columns</t>
  </si>
  <si>
    <t xml:space="preserve">Source</t>
  </si>
  <si>
    <t xml:space="preserve">Meaning</t>
  </si>
  <si>
    <t xml:space="preserve">Rule / formula</t>
  </si>
  <si>
    <t xml:space="preserve">Input</t>
  </si>
  <si>
    <t xml:space="preserve">Unique order reference</t>
  </si>
  <si>
    <t xml:space="preserve">Trimmed; duplicates removed</t>
  </si>
  <si>
    <t xml:space="preserve">Date</t>
  </si>
  <si>
    <t xml:space="preserve">Date the order was booked</t>
  </si>
  <si>
    <t xml:space="preserve">Parsed to a real date</t>
  </si>
  <si>
    <t xml:space="preserve">14-Mar-2026</t>
  </si>
  <si>
    <t xml:space="preserve">Anonymised customer code</t>
  </si>
  <si>
    <t xml:space="preserve">Unchanged</t>
  </si>
  <si>
    <t xml:space="preserve">Residential / Commercial / Institutional</t>
  </si>
  <si>
    <t xml:space="preserve">Spelling standardised</t>
  </si>
  <si>
    <t xml:space="preserve">Bengaluru / Rest of Karnataka / Other States</t>
  </si>
  <si>
    <t xml:space="preserve">One of 5 standard product families</t>
  </si>
  <si>
    <t xml:space="preserve">Machines on the order</t>
  </si>
  <si>
    <t xml:space="preserve">Simulated order value in rupees (illustrative only)</t>
  </si>
  <si>
    <t xml:space="preserve">Text stripped; blanks kept blank</t>
  </si>
  <si>
    <t xml:space="preserve">Promised delivery date</t>
  </si>
  <si>
    <t xml:space="preserve">Parsed</t>
  </si>
  <si>
    <t xml:space="preserve">28-Mar-2026</t>
  </si>
  <si>
    <t xml:space="preserve">Date unit left the factory</t>
  </si>
  <si>
    <t xml:space="preserve">Parsed; blank = not dispatched</t>
  </si>
  <si>
    <t xml:space="preserve">25-Mar-2026</t>
  </si>
  <si>
    <t xml:space="preserve">Actual delivery date</t>
  </si>
  <si>
    <t xml:space="preserve">Parsed; invalid dates set blank and flagged</t>
  </si>
  <si>
    <t xml:space="preserve">27-Mar-2026</t>
  </si>
  <si>
    <t xml:space="preserve">Promised installation date</t>
  </si>
  <si>
    <t xml:space="preserve">02-Apr-2026</t>
  </si>
  <si>
    <t xml:space="preserve">Actual installation date</t>
  </si>
  <si>
    <t xml:space="preserve">Parsed; blank = not installed</t>
  </si>
  <si>
    <t xml:space="preserve">01-Apr-2026</t>
  </si>
  <si>
    <t xml:space="preserve">Completed (installed) / Pending (open) / Cancelled</t>
  </si>
  <si>
    <t xml:space="preserve">Standardised; 'In Progress' -&gt; Pending</t>
  </si>
  <si>
    <t xml:space="preserve">Recorded reason for a late delivery</t>
  </si>
  <si>
    <t xml:space="preserve">Unchanged (blank = not recorded)</t>
  </si>
  <si>
    <t xml:space="preserve">Recorded reason for a late installation</t>
  </si>
  <si>
    <t xml:space="preserve">Recorded cancellation reason</t>
  </si>
  <si>
    <t xml:space="preserve">Short operational note</t>
  </si>
  <si>
    <t xml:space="preserve">Cleaning</t>
  </si>
  <si>
    <t xml:space="preserve">Data-quality issue found on the row, or OK</t>
  </si>
  <si>
    <t xml:space="preserve">See DATA QUALITY LOG</t>
  </si>
  <si>
    <t xml:space="preserve">1/0</t>
  </si>
  <si>
    <t xml:space="preserve">1 = dispatch date can be used for production/transit time</t>
  </si>
  <si>
    <t xml:space="preserve">0 if dispatch date is impossible</t>
  </si>
  <si>
    <t xml:space="preserve">1 = delivery date can be used for delivery KPIs</t>
  </si>
  <si>
    <t xml:space="preserve">0 if delivery date invalid or order cancelled after delivery</t>
  </si>
  <si>
    <t xml:space="preserve">1 = installation date can be used for installation KPIs</t>
  </si>
  <si>
    <t xml:space="preserve">0 if installed before delivery or date missing on a completed order</t>
  </si>
  <si>
    <t xml:space="preserve">Formula</t>
  </si>
  <si>
    <t xml:space="preserve">First day of the order month (for trends)</t>
  </si>
  <si>
    <t xml:space="preserve">DATE(YEAR(Order_Date),MONTH(Order_Date),1)</t>
  </si>
  <si>
    <t xml:space="preserve">01-Mar-2026</t>
  </si>
  <si>
    <t xml:space="preserve">Order was due for delivery by the report date</t>
  </si>
  <si>
    <t xml:space="preserve">Not cancelled AND Expected_Delivery_Date &lt;= As-of date</t>
  </si>
  <si>
    <t xml:space="preserve">Order has been delivered</t>
  </si>
  <si>
    <t xml:space="preserve">Not cancelled AND (delivery date present OR status Completed)</t>
  </si>
  <si>
    <t xml:space="preserve">Actual minus promised delivery date (negative = early)</t>
  </si>
  <si>
    <t xml:space="preserve">Only for delivered orders with valid dates; otherwise blank</t>
  </si>
  <si>
    <t xml:space="preserve">Early / On Time / Late</t>
  </si>
  <si>
    <t xml:space="preserve">From Delivery_Delay_Days (&lt;0, =0, &gt;0)</t>
  </si>
  <si>
    <t xml:space="preserve">Order was due for installation by the report date</t>
  </si>
  <si>
    <t xml:space="preserve">Not cancelled AND Expected_Installation_Date &lt;= As-of date</t>
  </si>
  <si>
    <t xml:space="preserve">Order has been installed</t>
  </si>
  <si>
    <t xml:space="preserve">Not cancelled AND (installation date present OR status Completed)</t>
  </si>
  <si>
    <t xml:space="preserve">Actual minus promised installation date</t>
  </si>
  <si>
    <t xml:space="preserve">Only installed orders with valid dates</t>
  </si>
  <si>
    <t xml:space="preserve">-1</t>
  </si>
  <si>
    <t xml:space="preserve">From Install_Delay_Days</t>
  </si>
  <si>
    <t xml:space="preserve">Early</t>
  </si>
  <si>
    <t xml:space="preserve">Order date to dispatch</t>
  </si>
  <si>
    <t xml:space="preserve">Valid dispatch date, not cancelled</t>
  </si>
  <si>
    <t xml:space="preserve">11</t>
  </si>
  <si>
    <t xml:space="preserve">Dispatch to delivery</t>
  </si>
  <si>
    <t xml:space="preserve">Delivery to installation (installation duration)</t>
  </si>
  <si>
    <t xml:space="preserve">Order date to delivery (fulfilment time)</t>
  </si>
  <si>
    <t xml:space="preserve">Valid delivery date</t>
  </si>
  <si>
    <t xml:space="preserve">13</t>
  </si>
  <si>
    <t xml:space="preserve">Order date to installation (end-to-end)</t>
  </si>
  <si>
    <t xml:space="preserve">Completed orders with valid installation date</t>
  </si>
  <si>
    <t xml:space="preserve">18</t>
  </si>
  <si>
    <t xml:space="preserve">Where the order is today</t>
  </si>
  <si>
    <t xml:space="preserve">Cancelled / Completed / Awaiting Installation / In Transit / In Production</t>
  </si>
  <si>
    <t xml:space="preserve">Open order past the promise for its current stage</t>
  </si>
  <si>
    <t xml:space="preserve">Pending AND (not delivered and delivery promise passed, OR delivered and installation promise passed)</t>
  </si>
  <si>
    <t xml:space="preserve">Days past the promise for the current stage</t>
  </si>
  <si>
    <t xml:space="preserve">As-of date minus the relevant promised date</t>
  </si>
  <si>
    <t xml:space="preserve">14</t>
  </si>
  <si>
    <t xml:space="preserve">Stage at which the overdue order is stuck</t>
  </si>
  <si>
    <t xml:space="preserve">Delivery / Installation</t>
  </si>
  <si>
    <t xml:space="preserve">Installation</t>
  </si>
  <si>
    <t xml:space="preserve">1 = row matches the dashboard filters</t>
  </si>
  <si>
    <t xml:space="preserve">Used only by the OPERATIONS DASHBOARD</t>
  </si>
  <si>
    <t xml:space="preserve">Helper to list the most overdue orders on the dashboard</t>
  </si>
  <si>
    <t xml:space="preserve">Days_Overdue + tiny row tie-breaker</t>
  </si>
  <si>
    <t xml:space="preserve">14.00042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</si>
</sst>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dd\-mmm\-yyyy"/>
    <numFmt numFmtId="167" formatCode="\₹#,##0"/>
    <numFmt numFmtId="168" formatCode="mmm\-yyyy"/>
    <numFmt numFmtId="169" formatCode="General"/>
    <numFmt numFmtId="170" formatCode="#,##0"/>
    <numFmt numFmtId="171" formatCode="0.0%"/>
    <numFmt numFmtId="172" formatCode="0.0"/>
    <numFmt numFmtId="173" formatCode="\₹0.00&quot; Cr&quot;"/>
    <numFmt numFmtId="174" formatCode="mmm"/>
    <numFmt numFmtId="175" formatCode="0"/>
    <numFmt numFmtId="176" formatCode="0%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D9534F"/>
      <name val="Arial"/>
      <family val="0"/>
      <charset val="1"/>
    </font>
    <font>
      <b val="true"/>
      <sz val="10"/>
      <color rgb="FF2D3136"/>
      <name val="Arial"/>
      <family val="0"/>
      <charset val="1"/>
    </font>
    <font>
      <sz val="10"/>
      <color rgb="FF2D3136"/>
      <name val="Arial"/>
      <family val="0"/>
      <charset val="1"/>
    </font>
    <font>
      <b val="true"/>
      <sz val="11"/>
      <color rgb="FF16B8B5"/>
      <name val="Arial"/>
      <family val="0"/>
      <charset val="1"/>
    </font>
    <font>
      <b val="true"/>
      <u val="single"/>
      <sz val="10"/>
      <color rgb="FF16B8B5"/>
      <name val="Arial"/>
      <family val="0"/>
      <charset val="1"/>
    </font>
    <font>
      <b val="true"/>
      <sz val="16"/>
      <color rgb="FF2D3136"/>
      <name val="Arial"/>
      <family val="0"/>
      <charset val="1"/>
    </font>
    <font>
      <i val="true"/>
      <sz val="9"/>
      <color rgb="FFD9534F"/>
      <name val="Arial"/>
      <family val="0"/>
      <charset val="1"/>
    </font>
    <font>
      <i val="true"/>
      <sz val="9"/>
      <color rgb="FF2D31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D313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2D3136"/>
      <name val="Arial"/>
      <family val="0"/>
      <charset val="1"/>
    </font>
    <font>
      <b val="true"/>
      <sz val="10"/>
      <color rgb="FF16B8B5"/>
      <name val="Arial"/>
      <family val="0"/>
      <charset val="1"/>
    </font>
    <font>
      <i val="true"/>
      <sz val="8"/>
      <color rgb="FF2D3136"/>
      <name val="Arial"/>
      <family val="0"/>
      <charset val="1"/>
    </font>
    <font>
      <i val="true"/>
      <sz val="8"/>
      <color rgb="FF8A939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8A939C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8"/>
      <color rgb="FF8A939C"/>
      <name val="Arial"/>
      <family val="0"/>
      <charset val="1"/>
    </font>
    <font>
      <b val="true"/>
      <sz val="18"/>
      <color rgb="FF2D3136"/>
      <name val="Arial"/>
      <family val="0"/>
      <charset val="1"/>
    </font>
    <font>
      <b val="true"/>
      <sz val="18"/>
      <color rgb="FF16B8B5"/>
      <name val="Arial"/>
      <family val="0"/>
      <charset val="1"/>
    </font>
    <font>
      <b val="true"/>
      <sz val="18"/>
      <color rgb="FFD9534F"/>
      <name val="Arial"/>
      <family val="0"/>
      <charset val="1"/>
    </font>
    <font>
      <sz val="8"/>
      <color rgb="FF8A939C"/>
      <name val="Arial"/>
      <family val="0"/>
      <charset val="1"/>
    </font>
    <font>
      <b val="true"/>
      <sz val="8"/>
      <color rgb="FF2D3136"/>
      <name val="Arial"/>
      <family val="0"/>
      <charset val="1"/>
    </font>
    <font>
      <sz val="9"/>
      <color rgb="FFD9534F"/>
      <name val="Arial"/>
      <family val="0"/>
      <charset val="1"/>
    </font>
    <font>
      <sz val="7"/>
      <color rgb="FFBBBBB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D9534F"/>
      <name val="Arial"/>
      <family val="0"/>
      <charset val="1"/>
    </font>
    <font>
      <b val="true"/>
      <sz val="9"/>
      <color rgb="FFE8A33D"/>
      <name val="Arial"/>
      <family val="0"/>
      <charset val="1"/>
    </font>
    <font>
      <sz val="8"/>
      <color rgb="FF2D313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3136"/>
        <bgColor rgb="FF333300"/>
      </patternFill>
    </fill>
    <fill>
      <patternFill patternType="solid">
        <fgColor rgb="FF16B8B5"/>
        <bgColor rgb="FF00CCFF"/>
      </patternFill>
    </fill>
    <fill>
      <patternFill patternType="solid">
        <fgColor rgb="FFFDECEA"/>
        <bgColor rgb="FFF4F6F8"/>
      </patternFill>
    </fill>
    <fill>
      <patternFill patternType="solid">
        <fgColor rgb="FFFFF59D"/>
        <bgColor rgb="FFFDECEA"/>
      </patternFill>
    </fill>
    <fill>
      <patternFill patternType="solid">
        <fgColor rgb="FFF4F6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  <border diagonalUp="false" diagonalDown="false">
      <left style="thin">
        <color rgb="FFD5DADF"/>
      </left>
      <right/>
      <top style="thin">
        <color rgb="FFD5DADF"/>
      </top>
      <bottom style="thin">
        <color rgb="FFD5DADF"/>
      </bottom>
      <diagonal/>
    </border>
    <border diagonalUp="false" diagonalDown="false">
      <left/>
      <right/>
      <top/>
      <bottom style="thin">
        <color rgb="FFD5DA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D31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D9534F"/>
          <bgColor rgb="FF000000"/>
        </patternFill>
      </fill>
    </dxf>
    <dxf>
      <fill>
        <patternFill patternType="solid">
          <fgColor rgb="FF16B8B5"/>
          <bgColor rgb="FF000000"/>
        </patternFill>
      </fill>
    </dxf>
    <dxf>
      <font>
        <name val="Arial"/>
        <charset val="1"/>
        <family val="0"/>
        <color rgb="FFD9534F"/>
        <sz val="9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D9534F"/>
        <sz val="9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3AAE4B"/>
      </font>
    </dxf>
    <dxf>
      <font>
        <name val="Arial"/>
        <charset val="1"/>
        <family val="0"/>
        <b val="1"/>
        <color rgb="FFD9534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4F6F8"/>
      <rgbColor rgb="FFFDECEA"/>
      <rgbColor rgb="FF660066"/>
      <rgbColor rgb="FFFF8080"/>
      <rgbColor rgb="FF0066CC"/>
      <rgbColor rgb="FFD5DA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59D"/>
      <rgbColor rgb="FF99CCFF"/>
      <rgbColor rgb="FFFF99CC"/>
      <rgbColor rgb="FFCC99FF"/>
      <rgbColor rgb="FFFFCC99"/>
      <rgbColor rgb="FF3366FF"/>
      <rgbColor rgb="FF16B8B5"/>
      <rgbColor rgb="FF99CC00"/>
      <rgbColor rgb="FFFFCC00"/>
      <rgbColor rgb="FFE8A33D"/>
      <rgbColor rgb="FFD9534F"/>
      <rgbColor rgb="FF666699"/>
      <rgbColor rgb="FF8A939C"/>
      <rgbColor rgb="FF003366"/>
      <rgbColor rgb="FF3AAE4B"/>
      <rgbColor rgb="FF003300"/>
      <rgbColor rgb="FF333300"/>
      <rgbColor rgb="FF993300"/>
      <rgbColor rgb="FF993366"/>
      <rgbColor rgb="FF333399"/>
      <rgbColor rgb="FF2D31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'OPERATIONS DASHBOARD'!U12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6b8b5"/>
            </a:solidFill>
            <a:ln w="9360">
              <a:solidFill>
                <a:srgbClr val="16b8b5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DASHBOARD'!$T$13:$T$15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Cancelled</c:v>
                </c:pt>
              </c:strCache>
            </c:strRef>
          </c:cat>
          <c:val>
            <c:numRef>
              <c:f>'OPERATIONS DASHBOARD'!$U$13:$U$15</c:f>
              <c:numCache>
                <c:formatCode>#,##0</c:formatCode>
                <c:ptCount val="3"/>
                <c:pt idx="0">
                  <c:v>121</c:v>
                </c:pt>
                <c:pt idx="1">
                  <c:v>30</c:v>
                </c:pt>
                <c:pt idx="2">
                  <c:v>9</c:v>
                </c:pt>
              </c:numCache>
            </c:numRef>
          </c:val>
        </c:ser>
        <c:gapWidth val="150"/>
        <c:overlap val="0"/>
        <c:axId val="1778918"/>
        <c:axId val="41183635"/>
      </c:barChart>
      <c:catAx>
        <c:axId val="1778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83635"/>
        <c:crosses val="autoZero"/>
        <c:auto val="1"/>
        <c:lblAlgn val="ctr"/>
        <c:lblOffset val="100"/>
        <c:noMultiLvlLbl val="0"/>
      </c:catAx>
      <c:valAx>
        <c:axId val="41183635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8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orders by current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'OPERATIONS DASHBOARD'!U17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16b8b5"/>
            </a:solidFill>
            <a:ln w="0">
              <a:solidFill>
                <a:srgbClr val="16b8b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DASHBOARD'!$T$18:$T$23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'OPERATIONS DASHBOARD'!$U$18:$U$23</c:f>
              <c:numCache>
                <c:formatCode>#,##0</c:formatCode>
                <c:ptCount val="6"/>
                <c:pt idx="0">
                  <c:v>13</c:v>
                </c:pt>
                <c:pt idx="1">
                  <c:v>21</c:v>
                </c:pt>
                <c:pt idx="2">
                  <c:v>21</c:v>
                </c:pt>
                <c:pt idx="3">
                  <c:v>22</c:v>
                </c:pt>
                <c:pt idx="4">
                  <c:v>34</c:v>
                </c:pt>
                <c:pt idx="5">
                  <c:v>10</c:v>
                </c:pt>
              </c:numCache>
            </c:numRef>
          </c:val>
        </c:ser>
        <c:ser>
          <c:idx val="1"/>
          <c:order val="1"/>
          <c:tx>
            <c:strRef>
              <c:f>'OPERATIONS DASHBOARD'!V17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e8a33d"/>
            </a:solidFill>
            <a:ln w="0">
              <a:solidFill>
                <a:srgbClr val="e8a33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DASHBOARD'!$T$18:$T$23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'OPERATIONS DASHBOARD'!$V$18:$V$23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21</c:v>
                </c:pt>
              </c:numCache>
            </c:numRef>
          </c:val>
        </c:ser>
        <c:ser>
          <c:idx val="2"/>
          <c:order val="2"/>
          <c:tx>
            <c:strRef>
              <c:f>'OPERATIONS DASHBOARD'!W17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8a939c"/>
            </a:solidFill>
            <a:ln w="0">
              <a:solidFill>
                <a:srgbClr val="8a939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DASHBOARD'!$T$18:$T$23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'OPERATIONS DASHBOARD'!$W$18:$W$23</c:f>
              <c:numCache>
                <c:formatCode>#,##0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gapWidth val="150"/>
        <c:overlap val="100"/>
        <c:axId val="2329706"/>
        <c:axId val="15788597"/>
      </c:barChart>
      <c:catAx>
        <c:axId val="2329706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88597"/>
        <c:crosses val="autoZero"/>
        <c:auto val="1"/>
        <c:lblAlgn val="ctr"/>
        <c:lblOffset val="100"/>
        <c:noMultiLvlLbl val="0"/>
      </c:catAx>
      <c:valAx>
        <c:axId val="15788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9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On-time vs delayed deliveries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'OPERATIONS DASHBOARD'!U25</c:f>
              <c:strCache>
                <c:ptCount val="1"/>
                <c:pt idx="0">
                  <c:v>On time / early</c:v>
                </c:pt>
              </c:strCache>
            </c:strRef>
          </c:tx>
          <c:spPr>
            <a:solidFill>
              <a:srgbClr val="16b8b5"/>
            </a:solidFill>
            <a:ln w="0">
              <a:solidFill>
                <a:srgbClr val="16b8b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DASHBOARD'!$T$26:$T$30</c:f>
              <c:strCache>
                <c:ptCount val="5"/>
                <c:pt idx="0">
                  <c:v>Water Heater</c:v>
                </c:pt>
                <c:pt idx="1">
                  <c:v>Commercial HP</c:v>
                </c:pt>
                <c:pt idx="2">
                  <c:v>Pool HP</c:v>
                </c:pt>
                <c:pt idx="3">
                  <c:v>Dryer</c:v>
                </c:pt>
                <c:pt idx="4">
                  <c:v>Custom</c:v>
                </c:pt>
              </c:strCache>
            </c:strRef>
          </c:cat>
          <c:val>
            <c:numRef>
              <c:f>'OPERATIONS DASHBOARD'!$U$26:$U$30</c:f>
              <c:numCache>
                <c:formatCode>#,##0</c:formatCode>
                <c:ptCount val="5"/>
                <c:pt idx="0">
                  <c:v>36</c:v>
                </c:pt>
                <c:pt idx="1">
                  <c:v>19</c:v>
                </c:pt>
                <c:pt idx="2">
                  <c:v>24</c:v>
                </c:pt>
                <c:pt idx="3">
                  <c:v>12</c:v>
                </c:pt>
                <c:pt idx="4">
                  <c:v>6</c:v>
                </c:pt>
              </c:numCache>
            </c:numRef>
          </c:val>
        </c:ser>
        <c:ser>
          <c:idx val="1"/>
          <c:order val="1"/>
          <c:tx>
            <c:strRef>
              <c:f>'OPERATIONS DASHBOARD'!V25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rgbClr val="d9534f"/>
            </a:solidFill>
            <a:ln w="0">
              <a:solidFill>
                <a:srgbClr val="d9534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DASHBOARD'!$T$26:$T$30</c:f>
              <c:strCache>
                <c:ptCount val="5"/>
                <c:pt idx="0">
                  <c:v>Water Heater</c:v>
                </c:pt>
                <c:pt idx="1">
                  <c:v>Commercial HP</c:v>
                </c:pt>
                <c:pt idx="2">
                  <c:v>Pool HP</c:v>
                </c:pt>
                <c:pt idx="3">
                  <c:v>Dryer</c:v>
                </c:pt>
                <c:pt idx="4">
                  <c:v>Custom</c:v>
                </c:pt>
              </c:strCache>
            </c:strRef>
          </c:cat>
          <c:val>
            <c:numRef>
              <c:f>'OPERATIONS DASHBOARD'!$V$26:$V$30</c:f>
              <c:numCache>
                <c:formatCode>#,##0</c:formatCode>
                <c:ptCount val="5"/>
                <c:pt idx="0">
                  <c:v>4</c:v>
                </c:pt>
                <c:pt idx="1">
                  <c:v>15</c:v>
                </c:pt>
                <c:pt idx="2">
                  <c:v>5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</c:ser>
        <c:gapWidth val="150"/>
        <c:overlap val="100"/>
        <c:axId val="90733578"/>
        <c:axId val="42989537"/>
      </c:barChart>
      <c:catAx>
        <c:axId val="907335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89537"/>
        <c:crosses val="autoZero"/>
        <c:auto val="1"/>
        <c:lblAlgn val="ctr"/>
        <c:lblOffset val="100"/>
        <c:noMultiLvlLbl val="0"/>
      </c:catAx>
      <c:valAx>
        <c:axId val="42989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335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Installation status (non-cancelled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'OPERATIONS DASHBOARD'!U32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16b8b5"/>
            </a:solidFill>
            <a:ln w="0">
              <a:solidFill>
                <a:srgbClr val="16b8b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DASHBOARD'!$T$33:$T$38</c:f>
              <c:strCache>
                <c:ptCount val="6"/>
                <c:pt idx="0">
                  <c:v>Installed on time</c:v>
                </c:pt>
                <c:pt idx="1">
                  <c:v>Installed late</c:v>
                </c:pt>
                <c:pt idx="2">
                  <c:v>Installed - date issue</c:v>
                </c:pt>
                <c:pt idx="3">
                  <c:v>Awaiting install - overdue</c:v>
                </c:pt>
                <c:pt idx="4">
                  <c:v>Awaiting install - on plan</c:v>
                </c:pt>
                <c:pt idx="5">
                  <c:v>Not yet delivered</c:v>
                </c:pt>
              </c:strCache>
            </c:strRef>
          </c:cat>
          <c:val>
            <c:numRef>
              <c:f>'OPERATIONS DASHBOARD'!$U$33:$U$38</c:f>
              <c:numCache>
                <c:formatCode>#,##0</c:formatCode>
                <c:ptCount val="6"/>
                <c:pt idx="0">
                  <c:v>71</c:v>
                </c:pt>
                <c:pt idx="1">
                  <c:v>47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16</c:v>
                </c:pt>
              </c:numCache>
            </c:numRef>
          </c:val>
        </c:ser>
        <c:gapWidth val="150"/>
        <c:overlap val="0"/>
        <c:axId val="45766775"/>
        <c:axId val="63322383"/>
      </c:barChart>
      <c:catAx>
        <c:axId val="45766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322383"/>
        <c:crosses val="autoZero"/>
        <c:auto val="1"/>
        <c:lblAlgn val="ctr"/>
        <c:lblOffset val="100"/>
        <c:noMultiLvlLbl val="0"/>
      </c:catAx>
      <c:valAx>
        <c:axId val="63322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667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Product-category performance (on-time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DASHBOARD'!U41</c:f>
              <c:strCache>
                <c:ptCount val="1"/>
                <c:pt idx="0">
                  <c:v>On-time delivery %</c:v>
                </c:pt>
              </c:strCache>
            </c:strRef>
          </c:tx>
          <c:spPr>
            <a:solidFill>
              <a:srgbClr val="16b8b5"/>
            </a:solidFill>
            <a:ln w="0">
              <a:solidFill>
                <a:srgbClr val="16b8b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DASHBOARD'!$T$42:$T$46</c:f>
              <c:strCache>
                <c:ptCount val="5"/>
                <c:pt idx="0">
                  <c:v>Water Heater</c:v>
                </c:pt>
                <c:pt idx="1">
                  <c:v>Commercial HP</c:v>
                </c:pt>
                <c:pt idx="2">
                  <c:v>Pool HP</c:v>
                </c:pt>
                <c:pt idx="3">
                  <c:v>Dryer</c:v>
                </c:pt>
                <c:pt idx="4">
                  <c:v>Custom</c:v>
                </c:pt>
              </c:strCache>
            </c:strRef>
          </c:cat>
          <c:val>
            <c:numRef>
              <c:f>'OPERATIONS DASHBOARD'!$U$42:$U$46</c:f>
              <c:numCache>
                <c:formatCode>0.0%</c:formatCode>
                <c:ptCount val="5"/>
                <c:pt idx="0">
                  <c:v>0.9</c:v>
                </c:pt>
                <c:pt idx="1">
                  <c:v>0.558823529411765</c:v>
                </c:pt>
                <c:pt idx="2">
                  <c:v>0.827586206896552</c:v>
                </c:pt>
                <c:pt idx="3">
                  <c:v>0.705882352941177</c:v>
                </c:pt>
                <c:pt idx="4">
                  <c:v>0.428571428571429</c:v>
                </c:pt>
              </c:numCache>
            </c:numRef>
          </c:val>
        </c:ser>
        <c:ser>
          <c:idx val="1"/>
          <c:order val="1"/>
          <c:tx>
            <c:strRef>
              <c:f>'OPERATIONS DASHBOARD'!V41</c:f>
              <c:strCache>
                <c:ptCount val="1"/>
                <c:pt idx="0">
                  <c:v>On-time install %</c:v>
                </c:pt>
              </c:strCache>
            </c:strRef>
          </c:tx>
          <c:spPr>
            <a:solidFill>
              <a:srgbClr val="2d3136"/>
            </a:solidFill>
            <a:ln w="0">
              <a:solidFill>
                <a:srgbClr val="2d31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DASHBOARD'!$T$42:$T$46</c:f>
              <c:strCache>
                <c:ptCount val="5"/>
                <c:pt idx="0">
                  <c:v>Water Heater</c:v>
                </c:pt>
                <c:pt idx="1">
                  <c:v>Commercial HP</c:v>
                </c:pt>
                <c:pt idx="2">
                  <c:v>Pool HP</c:v>
                </c:pt>
                <c:pt idx="3">
                  <c:v>Dryer</c:v>
                </c:pt>
                <c:pt idx="4">
                  <c:v>Custom</c:v>
                </c:pt>
              </c:strCache>
            </c:strRef>
          </c:cat>
          <c:val>
            <c:numRef>
              <c:f>'OPERATIONS DASHBOARD'!$V$42:$V$46</c:f>
              <c:numCache>
                <c:formatCode>0.0%</c:formatCode>
                <c:ptCount val="5"/>
                <c:pt idx="0">
                  <c:v>0.638888888888889</c:v>
                </c:pt>
                <c:pt idx="1">
                  <c:v>0.517241379310345</c:v>
                </c:pt>
                <c:pt idx="2">
                  <c:v>0.821428571428571</c:v>
                </c:pt>
                <c:pt idx="3">
                  <c:v>0.384615384615385</c:v>
                </c:pt>
                <c:pt idx="4">
                  <c:v>0.416666666666667</c:v>
                </c:pt>
              </c:numCache>
            </c:numRef>
          </c:val>
        </c:ser>
        <c:gapWidth val="150"/>
        <c:overlap val="0"/>
        <c:axId val="58244088"/>
        <c:axId val="82430474"/>
      </c:barChart>
      <c:catAx>
        <c:axId val="5824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430474"/>
        <c:crosses val="autoZero"/>
        <c:auto val="1"/>
        <c:lblAlgn val="ctr"/>
        <c:lblOffset val="100"/>
        <c:noMultiLvlLbl val="0"/>
      </c:catAx>
      <c:valAx>
        <c:axId val="8243047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440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Operational delay analysis: average days per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'OPERATIONS DASHBOARD'!U49</c:f>
              <c:strCache>
                <c:ptCount val="1"/>
                <c:pt idx="0">
                  <c:v>Avg days</c:v>
                </c:pt>
              </c:strCache>
            </c:strRef>
          </c:tx>
          <c:spPr>
            <a:solidFill>
              <a:srgbClr val="e8a33d"/>
            </a:solidFill>
            <a:ln w="0">
              <a:solidFill>
                <a:srgbClr val="e8a33d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'OPERATIONS DASHBOARD'!$T$50:$T$52</c:f>
              <c:strCache>
                <c:ptCount val="3"/>
                <c:pt idx="0">
                  <c:v>Production</c:v>
                </c:pt>
                <c:pt idx="1">
                  <c:v>Transit</c:v>
                </c:pt>
                <c:pt idx="2">
                  <c:v>Delivery → install</c:v>
                </c:pt>
              </c:strCache>
            </c:strRef>
          </c:cat>
          <c:val>
            <c:numRef>
              <c:f>'OPERATIONS DASHBOARD'!$U$50:$U$52</c:f>
              <c:numCache>
                <c:formatCode>0.0</c:formatCode>
                <c:ptCount val="3"/>
                <c:pt idx="0">
                  <c:v>13.1691176470588</c:v>
                </c:pt>
                <c:pt idx="1">
                  <c:v>3.09774436090226</c:v>
                </c:pt>
                <c:pt idx="2">
                  <c:v>6.73504273504274</c:v>
                </c:pt>
              </c:numCache>
            </c:numRef>
          </c:val>
        </c:ser>
        <c:gapWidth val="150"/>
        <c:overlap val="0"/>
        <c:axId val="39720505"/>
        <c:axId val="15493586"/>
      </c:barChart>
      <c:catAx>
        <c:axId val="397205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93586"/>
        <c:crosses val="autoZero"/>
        <c:auto val="1"/>
        <c:lblAlgn val="ctr"/>
        <c:lblOffset val="100"/>
        <c:noMultiLvlLbl val="0"/>
      </c:catAx>
      <c:valAx>
        <c:axId val="15493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205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8</xdr:col>
      <xdr:colOff>433080</xdr:colOff>
      <xdr:row>23</xdr:row>
      <xdr:rowOff>115200</xdr:rowOff>
    </xdr:to>
    <xdr:graphicFrame>
      <xdr:nvGraphicFramePr>
        <xdr:cNvPr id="0" name="Chart 1"/>
        <xdr:cNvGraphicFramePr/>
      </xdr:nvGraphicFramePr>
      <xdr:xfrm>
        <a:off x="141120" y="236232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16</xdr:col>
      <xdr:colOff>432720</xdr:colOff>
      <xdr:row>23</xdr:row>
      <xdr:rowOff>115200</xdr:rowOff>
    </xdr:to>
    <xdr:graphicFrame>
      <xdr:nvGraphicFramePr>
        <xdr:cNvPr id="1" name="Chart 2"/>
        <xdr:cNvGraphicFramePr/>
      </xdr:nvGraphicFramePr>
      <xdr:xfrm>
        <a:off x="6064200" y="236232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8</xdr:col>
      <xdr:colOff>433080</xdr:colOff>
      <xdr:row>38</xdr:row>
      <xdr:rowOff>115200</xdr:rowOff>
    </xdr:to>
    <xdr:graphicFrame>
      <xdr:nvGraphicFramePr>
        <xdr:cNvPr id="2" name="Chart 3"/>
        <xdr:cNvGraphicFramePr/>
      </xdr:nvGraphicFramePr>
      <xdr:xfrm>
        <a:off x="141120" y="521964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16</xdr:col>
      <xdr:colOff>432720</xdr:colOff>
      <xdr:row>38</xdr:row>
      <xdr:rowOff>115200</xdr:rowOff>
    </xdr:to>
    <xdr:graphicFrame>
      <xdr:nvGraphicFramePr>
        <xdr:cNvPr id="3" name="Chart 4"/>
        <xdr:cNvGraphicFramePr/>
      </xdr:nvGraphicFramePr>
      <xdr:xfrm>
        <a:off x="6064200" y="521964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8</xdr:col>
      <xdr:colOff>433080</xdr:colOff>
      <xdr:row>53</xdr:row>
      <xdr:rowOff>115200</xdr:rowOff>
    </xdr:to>
    <xdr:graphicFrame>
      <xdr:nvGraphicFramePr>
        <xdr:cNvPr id="4" name="Chart 5"/>
        <xdr:cNvGraphicFramePr/>
      </xdr:nvGraphicFramePr>
      <xdr:xfrm>
        <a:off x="141120" y="807732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40</xdr:row>
      <xdr:rowOff>0</xdr:rowOff>
    </xdr:from>
    <xdr:to>
      <xdr:col>16</xdr:col>
      <xdr:colOff>432720</xdr:colOff>
      <xdr:row>53</xdr:row>
      <xdr:rowOff>115200</xdr:rowOff>
    </xdr:to>
    <xdr:graphicFrame>
      <xdr:nvGraphicFramePr>
        <xdr:cNvPr id="5" name="Chart 6"/>
        <xdr:cNvGraphicFramePr/>
      </xdr:nvGraphicFramePr>
      <xdr:xfrm>
        <a:off x="6064200" y="8077320"/>
        <a:ext cx="5615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operations_analysis.xlsx" TargetMode="External"/><Relationship Id="rId2" Type="http://schemas.openxmlformats.org/officeDocument/2006/relationships/hyperlink" Target="operations_analysis.xlsx" TargetMode="External"/><Relationship Id="rId3" Type="http://schemas.openxmlformats.org/officeDocument/2006/relationships/hyperlink" Target="operations_analysis.xlsx" TargetMode="External"/><Relationship Id="rId4" Type="http://schemas.openxmlformats.org/officeDocument/2006/relationships/hyperlink" Target="operations_analysis.xlsx" TargetMode="External"/><Relationship Id="rId5" Type="http://schemas.openxmlformats.org/officeDocument/2006/relationships/hyperlink" Target="operations_analysis.xlsx" TargetMode="External"/><Relationship Id="rId6" Type="http://schemas.openxmlformats.org/officeDocument/2006/relationships/hyperlink" Target="operations_analysis.xlsx" TargetMode="External"/><Relationship Id="rId7" Type="http://schemas.openxmlformats.org/officeDocument/2006/relationships/hyperlink" Target="operations_analysis.xlsx" TargetMode="External"/><Relationship Id="rId8" Type="http://schemas.openxmlformats.org/officeDocument/2006/relationships/hyperlink" Target="operations_analysi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33.75" hidden="false" customHeight="tru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43.5" hidden="false" customHeight="true" outlineLevel="0" collapsed="false">
      <c r="B5" s="3" t="s">
        <v>2</v>
      </c>
      <c r="C5" s="3"/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0" customFormat="false" ht="30" hidden="false" customHeight="true" outlineLevel="0" collapsed="false">
      <c r="B10" s="4" t="s">
        <v>9</v>
      </c>
      <c r="C10" s="5" t="s">
        <v>10</v>
      </c>
    </row>
    <row r="12" customFormat="false" ht="15" hidden="false" customHeight="false" outlineLevel="0" collapsed="false">
      <c r="B12" s="6" t="s">
        <v>11</v>
      </c>
    </row>
    <row r="13" customFormat="false" ht="15" hidden="false" customHeight="false" outlineLevel="0" collapsed="false">
      <c r="B13" s="7" t="s">
        <v>12</v>
      </c>
      <c r="C13" s="5" t="s">
        <v>13</v>
      </c>
    </row>
    <row r="14" customFormat="false" ht="15" hidden="false" customHeight="false" outlineLevel="0" collapsed="false">
      <c r="B14" s="7" t="s">
        <v>14</v>
      </c>
      <c r="C14" s="5" t="s">
        <v>15</v>
      </c>
    </row>
    <row r="15" customFormat="false" ht="15" hidden="false" customHeight="false" outlineLevel="0" collapsed="false">
      <c r="B15" s="7" t="s">
        <v>16</v>
      </c>
      <c r="C15" s="5" t="s">
        <v>17</v>
      </c>
    </row>
    <row r="16" customFormat="false" ht="15" hidden="false" customHeight="false" outlineLevel="0" collapsed="false">
      <c r="B16" s="7" t="s">
        <v>18</v>
      </c>
      <c r="C16" s="5" t="s">
        <v>19</v>
      </c>
    </row>
    <row r="17" customFormat="false" ht="15" hidden="false" customHeight="false" outlineLevel="0" collapsed="false">
      <c r="B17" s="7" t="s">
        <v>20</v>
      </c>
      <c r="C17" s="5" t="s">
        <v>21</v>
      </c>
    </row>
    <row r="18" customFormat="false" ht="15" hidden="false" customHeight="false" outlineLevel="0" collapsed="false">
      <c r="B18" s="7" t="s">
        <v>22</v>
      </c>
      <c r="C18" s="5" t="s">
        <v>23</v>
      </c>
    </row>
    <row r="19" customFormat="false" ht="15" hidden="false" customHeight="false" outlineLevel="0" collapsed="false">
      <c r="B19" s="7" t="s">
        <v>24</v>
      </c>
      <c r="C19" s="5" t="s">
        <v>25</v>
      </c>
    </row>
    <row r="20" customFormat="false" ht="15" hidden="false" customHeight="false" outlineLevel="0" collapsed="false">
      <c r="B20" s="7" t="s">
        <v>26</v>
      </c>
      <c r="C20" s="5" t="s">
        <v>27</v>
      </c>
    </row>
    <row r="22" customFormat="false" ht="15" hidden="false" customHeight="false" outlineLevel="0" collapsed="false">
      <c r="B22" s="6" t="s">
        <v>28</v>
      </c>
    </row>
    <row r="23" customFormat="false" ht="27.75" hidden="false" customHeight="true" outlineLevel="0" collapsed="false">
      <c r="B23" s="4" t="s">
        <v>29</v>
      </c>
      <c r="C23" s="5" t="s">
        <v>30</v>
      </c>
    </row>
    <row r="24" customFormat="false" ht="27.75" hidden="false" customHeight="true" outlineLevel="0" collapsed="false">
      <c r="B24" s="4" t="s">
        <v>31</v>
      </c>
      <c r="C24" s="5" t="s">
        <v>32</v>
      </c>
    </row>
    <row r="25" customFormat="false" ht="27.75" hidden="false" customHeight="true" outlineLevel="0" collapsed="false">
      <c r="B25" s="4" t="s">
        <v>33</v>
      </c>
      <c r="C25" s="5" t="s">
        <v>34</v>
      </c>
    </row>
    <row r="26" customFormat="false" ht="27.75" hidden="false" customHeight="true" outlineLevel="0" collapsed="false">
      <c r="B26" s="4" t="s">
        <v>35</v>
      </c>
      <c r="C26" s="5" t="s">
        <v>36</v>
      </c>
    </row>
    <row r="27" customFormat="false" ht="27.75" hidden="false" customHeight="true" outlineLevel="0" collapsed="false">
      <c r="B27" s="4" t="s">
        <v>37</v>
      </c>
      <c r="C27" s="5" t="s">
        <v>38</v>
      </c>
    </row>
    <row r="29" customFormat="false" ht="15" hidden="false" customHeight="false" outlineLevel="0" collapsed="false">
      <c r="B29" s="6" t="s">
        <v>39</v>
      </c>
    </row>
    <row r="30" customFormat="false" ht="57.75" hidden="false" customHeight="true" outlineLevel="0" collapsed="false">
      <c r="C30" s="5" t="s">
        <v>40</v>
      </c>
    </row>
  </sheetData>
  <mergeCells count="3">
    <mergeCell ref="B2:C2"/>
    <mergeCell ref="B3:C3"/>
    <mergeCell ref="B5:C5"/>
  </mergeCells>
  <hyperlinks>
    <hyperlink ref="B13" r:id="rId1" location="'OPERATIONS%20DASHBOARD'!A1" display="OPERATIONS DASHBOARD"/>
    <hyperlink ref="B14" r:id="rId2" location="'KPI%20ANALYSIS'!A1" display="KPI ANALYSIS"/>
    <hyperlink ref="B15" r:id="rId3" location="'PIVOT%20ANALYSIS'!A1" display="PIVOT ANALYSIS"/>
    <hyperlink ref="B16" r:id="rId4" location="'BUSINESS%20RECOMMENDATIONS'!A1" display="BUSINESS RECOMMENDATIONS"/>
    <hyperlink ref="B17" r:id="rId5" location="'CLEANED%20DATA'!A1" display="CLEANED DATA"/>
    <hyperlink ref="B18" r:id="rId6" location="'RAW%20DATA'!A1" display="RAW DATA"/>
    <hyperlink ref="B19" r:id="rId7" location="'DATA%20QUALITY%20LOG'!A1" display="DATA QUALITY LOG"/>
    <hyperlink ref="B20" r:id="rId8" location="'DATA%20DICTIONARY'!A1" display="DATA DICTION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7"/>
    <col collapsed="false" customWidth="true" hidden="false" outlineLevel="0" max="8" min="8" style="0" width="15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22"/>
    <col collapsed="false" customWidth="true" hidden="false" outlineLevel="0" max="17" min="16" style="0" width="24"/>
    <col collapsed="false" customWidth="true" hidden="false" outlineLevel="0" max="18" min="18" style="0" width="34"/>
  </cols>
  <sheetData>
    <row r="1" customFormat="false" ht="25.5" hidden="false" customHeight="true" outlineLevel="0" collapsed="false">
      <c r="A1" s="8" t="s">
        <v>41</v>
      </c>
    </row>
    <row r="2" customFormat="false" ht="15" hidden="false" customHeight="false" outlineLevel="0" collapsed="false">
      <c r="A2" s="9" t="s">
        <v>42</v>
      </c>
    </row>
    <row r="3" customFormat="false" ht="15" hidden="false" customHeight="false" outlineLevel="0" collapsed="false">
      <c r="A3" s="10" t="s">
        <v>43</v>
      </c>
    </row>
    <row r="5" customFormat="false" ht="23.85" hidden="false" customHeight="false" outlineLevel="0" collapsed="false">
      <c r="A5" s="11" t="s">
        <v>44</v>
      </c>
      <c r="B5" s="11" t="s">
        <v>45</v>
      </c>
      <c r="C5" s="11" t="s">
        <v>46</v>
      </c>
      <c r="D5" s="11" t="s">
        <v>47</v>
      </c>
      <c r="E5" s="11" t="s">
        <v>48</v>
      </c>
      <c r="F5" s="11" t="s">
        <v>49</v>
      </c>
      <c r="G5" s="11" t="s">
        <v>50</v>
      </c>
      <c r="H5" s="11" t="s">
        <v>51</v>
      </c>
      <c r="I5" s="11" t="s">
        <v>52</v>
      </c>
      <c r="J5" s="11" t="s">
        <v>53</v>
      </c>
      <c r="K5" s="11" t="s">
        <v>54</v>
      </c>
      <c r="L5" s="11" t="s">
        <v>55</v>
      </c>
      <c r="M5" s="11" t="s">
        <v>56</v>
      </c>
      <c r="N5" s="11" t="s">
        <v>57</v>
      </c>
      <c r="O5" s="11" t="s">
        <v>58</v>
      </c>
      <c r="P5" s="11" t="s">
        <v>59</v>
      </c>
      <c r="Q5" s="11" t="s">
        <v>60</v>
      </c>
      <c r="R5" s="11" t="s">
        <v>61</v>
      </c>
    </row>
    <row r="6" customFormat="false" ht="15" hidden="false" customHeight="false" outlineLevel="0" collapsed="false">
      <c r="A6" s="12" t="s">
        <v>62</v>
      </c>
      <c r="B6" s="12" t="s">
        <v>63</v>
      </c>
      <c r="C6" s="12" t="s">
        <v>64</v>
      </c>
      <c r="D6" s="12" t="s">
        <v>65</v>
      </c>
      <c r="E6" s="12" t="s">
        <v>66</v>
      </c>
      <c r="F6" s="12" t="s">
        <v>67</v>
      </c>
      <c r="G6" s="12" t="s">
        <v>68</v>
      </c>
      <c r="H6" s="12" t="s">
        <v>69</v>
      </c>
      <c r="I6" s="12" t="s">
        <v>70</v>
      </c>
      <c r="J6" s="12" t="s">
        <v>71</v>
      </c>
      <c r="K6" s="12" t="s">
        <v>72</v>
      </c>
      <c r="L6" s="12" t="s">
        <v>73</v>
      </c>
      <c r="M6" s="12" t="s">
        <v>74</v>
      </c>
      <c r="N6" s="12" t="s">
        <v>75</v>
      </c>
      <c r="O6" s="12"/>
      <c r="P6" s="12"/>
      <c r="Q6" s="12"/>
      <c r="R6" s="12"/>
    </row>
    <row r="7" customFormat="false" ht="15" hidden="false" customHeight="false" outlineLevel="0" collapsed="false">
      <c r="A7" s="12" t="s">
        <v>76</v>
      </c>
      <c r="B7" s="12" t="s">
        <v>77</v>
      </c>
      <c r="C7" s="12" t="s">
        <v>78</v>
      </c>
      <c r="D7" s="12" t="s">
        <v>65</v>
      </c>
      <c r="E7" s="12" t="s">
        <v>66</v>
      </c>
      <c r="F7" s="12" t="s">
        <v>67</v>
      </c>
      <c r="G7" s="12" t="s">
        <v>68</v>
      </c>
      <c r="H7" s="12" t="s">
        <v>79</v>
      </c>
      <c r="I7" s="12" t="s">
        <v>73</v>
      </c>
      <c r="J7" s="12" t="s">
        <v>80</v>
      </c>
      <c r="K7" s="12" t="s">
        <v>81</v>
      </c>
      <c r="L7" s="12" t="s">
        <v>82</v>
      </c>
      <c r="M7" s="12" t="s">
        <v>83</v>
      </c>
      <c r="N7" s="12" t="s">
        <v>75</v>
      </c>
      <c r="O7" s="12" t="s">
        <v>84</v>
      </c>
      <c r="P7" s="12" t="s">
        <v>85</v>
      </c>
      <c r="Q7" s="12"/>
      <c r="R7" s="12" t="s">
        <v>86</v>
      </c>
    </row>
    <row r="8" customFormat="false" ht="15" hidden="false" customHeight="false" outlineLevel="0" collapsed="false">
      <c r="A8" s="12" t="s">
        <v>87</v>
      </c>
      <c r="B8" s="12" t="s">
        <v>88</v>
      </c>
      <c r="C8" s="12" t="s">
        <v>89</v>
      </c>
      <c r="D8" s="12" t="s">
        <v>90</v>
      </c>
      <c r="E8" s="12" t="s">
        <v>91</v>
      </c>
      <c r="F8" s="12" t="s">
        <v>67</v>
      </c>
      <c r="G8" s="12" t="s">
        <v>92</v>
      </c>
      <c r="H8" s="12" t="s">
        <v>93</v>
      </c>
      <c r="I8" s="12" t="s">
        <v>94</v>
      </c>
      <c r="J8" s="12" t="s">
        <v>95</v>
      </c>
      <c r="K8" s="12" t="s">
        <v>96</v>
      </c>
      <c r="L8" s="12" t="s">
        <v>96</v>
      </c>
      <c r="M8" s="12" t="s">
        <v>97</v>
      </c>
      <c r="N8" s="12" t="s">
        <v>75</v>
      </c>
      <c r="O8" s="12" t="s">
        <v>84</v>
      </c>
      <c r="P8" s="12"/>
      <c r="Q8" s="12"/>
      <c r="R8" s="12" t="s">
        <v>98</v>
      </c>
    </row>
    <row r="9" customFormat="false" ht="15" hidden="false" customHeight="false" outlineLevel="0" collapsed="false">
      <c r="A9" s="12" t="s">
        <v>99</v>
      </c>
      <c r="B9" s="12" t="s">
        <v>100</v>
      </c>
      <c r="C9" s="12" t="s">
        <v>101</v>
      </c>
      <c r="D9" s="12" t="s">
        <v>90</v>
      </c>
      <c r="E9" s="12" t="s">
        <v>102</v>
      </c>
      <c r="F9" s="12" t="s">
        <v>103</v>
      </c>
      <c r="G9" s="12" t="s">
        <v>104</v>
      </c>
      <c r="H9" s="12" t="s">
        <v>105</v>
      </c>
      <c r="I9" s="12" t="s">
        <v>82</v>
      </c>
      <c r="J9" s="12" t="s">
        <v>106</v>
      </c>
      <c r="K9" s="12" t="s">
        <v>107</v>
      </c>
      <c r="L9" s="12" t="s">
        <v>108</v>
      </c>
      <c r="M9" s="12" t="s">
        <v>109</v>
      </c>
      <c r="N9" s="12" t="s">
        <v>75</v>
      </c>
      <c r="O9" s="12" t="s">
        <v>110</v>
      </c>
      <c r="P9" s="12" t="s">
        <v>111</v>
      </c>
      <c r="Q9" s="12"/>
      <c r="R9" s="12" t="s">
        <v>98</v>
      </c>
    </row>
    <row r="10" customFormat="false" ht="15" hidden="false" customHeight="false" outlineLevel="0" collapsed="false">
      <c r="A10" s="12" t="s">
        <v>112</v>
      </c>
      <c r="B10" s="12" t="s">
        <v>72</v>
      </c>
      <c r="C10" s="12" t="s">
        <v>113</v>
      </c>
      <c r="D10" s="12" t="s">
        <v>65</v>
      </c>
      <c r="E10" s="12" t="s">
        <v>66</v>
      </c>
      <c r="F10" s="12" t="s">
        <v>67</v>
      </c>
      <c r="G10" s="12" t="s">
        <v>114</v>
      </c>
      <c r="H10" s="12" t="s">
        <v>115</v>
      </c>
      <c r="I10" s="12" t="s">
        <v>97</v>
      </c>
      <c r="J10" s="12" t="s">
        <v>96</v>
      </c>
      <c r="K10" s="12" t="s">
        <v>116</v>
      </c>
      <c r="L10" s="12" t="s">
        <v>116</v>
      </c>
      <c r="M10" s="12" t="s">
        <v>117</v>
      </c>
      <c r="N10" s="12" t="s">
        <v>75</v>
      </c>
      <c r="O10" s="12" t="s">
        <v>110</v>
      </c>
      <c r="P10" s="12"/>
      <c r="Q10" s="12"/>
      <c r="R10" s="12" t="s">
        <v>98</v>
      </c>
    </row>
    <row r="11" customFormat="false" ht="15" hidden="false" customHeight="false" outlineLevel="0" collapsed="false">
      <c r="A11" s="12" t="s">
        <v>118</v>
      </c>
      <c r="B11" s="12" t="s">
        <v>119</v>
      </c>
      <c r="C11" s="12" t="s">
        <v>120</v>
      </c>
      <c r="D11" s="12" t="s">
        <v>65</v>
      </c>
      <c r="E11" s="12" t="s">
        <v>91</v>
      </c>
      <c r="F11" s="12" t="s">
        <v>121</v>
      </c>
      <c r="G11" s="12" t="s">
        <v>68</v>
      </c>
      <c r="H11" s="12" t="s">
        <v>122</v>
      </c>
      <c r="I11" s="12" t="s">
        <v>123</v>
      </c>
      <c r="J11" s="12" t="s">
        <v>81</v>
      </c>
      <c r="K11" s="12" t="s">
        <v>123</v>
      </c>
      <c r="L11" s="12" t="s">
        <v>124</v>
      </c>
      <c r="M11" s="12" t="s">
        <v>125</v>
      </c>
      <c r="N11" s="12" t="s">
        <v>75</v>
      </c>
      <c r="O11" s="12"/>
      <c r="P11" s="12"/>
      <c r="Q11" s="12"/>
      <c r="R11" s="12" t="s">
        <v>98</v>
      </c>
    </row>
    <row r="12" customFormat="false" ht="15" hidden="false" customHeight="false" outlineLevel="0" collapsed="false">
      <c r="A12" s="12" t="s">
        <v>126</v>
      </c>
      <c r="B12" s="12" t="s">
        <v>127</v>
      </c>
      <c r="C12" s="12" t="s">
        <v>128</v>
      </c>
      <c r="D12" s="12" t="s">
        <v>90</v>
      </c>
      <c r="E12" s="12" t="s">
        <v>91</v>
      </c>
      <c r="F12" s="12" t="s">
        <v>121</v>
      </c>
      <c r="G12" s="12" t="s">
        <v>104</v>
      </c>
      <c r="H12" s="12" t="s">
        <v>105</v>
      </c>
      <c r="I12" s="12" t="s">
        <v>129</v>
      </c>
      <c r="J12" s="12" t="s">
        <v>130</v>
      </c>
      <c r="K12" s="12" t="s">
        <v>131</v>
      </c>
      <c r="L12" s="12" t="s">
        <v>132</v>
      </c>
      <c r="M12" s="12" t="s">
        <v>124</v>
      </c>
      <c r="N12" s="12" t="s">
        <v>133</v>
      </c>
      <c r="O12" s="12"/>
      <c r="P12" s="12"/>
      <c r="Q12" s="12"/>
      <c r="R12" s="12" t="s">
        <v>134</v>
      </c>
    </row>
    <row r="13" customFormat="false" ht="15" hidden="false" customHeight="false" outlineLevel="0" collapsed="false">
      <c r="A13" s="12" t="s">
        <v>135</v>
      </c>
      <c r="B13" s="12" t="s">
        <v>136</v>
      </c>
      <c r="C13" s="12" t="s">
        <v>137</v>
      </c>
      <c r="D13" s="12" t="s">
        <v>65</v>
      </c>
      <c r="E13" s="12" t="s">
        <v>91</v>
      </c>
      <c r="F13" s="12" t="s">
        <v>67</v>
      </c>
      <c r="G13" s="12" t="s">
        <v>68</v>
      </c>
      <c r="H13" s="12" t="s">
        <v>138</v>
      </c>
      <c r="I13" s="12" t="s">
        <v>139</v>
      </c>
      <c r="J13" s="12" t="s">
        <v>95</v>
      </c>
      <c r="K13" s="12" t="s">
        <v>96</v>
      </c>
      <c r="L13" s="12" t="s">
        <v>140</v>
      </c>
      <c r="M13" s="12" t="s">
        <v>141</v>
      </c>
      <c r="N13" s="12" t="s">
        <v>75</v>
      </c>
      <c r="O13" s="12"/>
      <c r="P13" s="12"/>
      <c r="Q13" s="12"/>
      <c r="R13" s="12" t="s">
        <v>86</v>
      </c>
    </row>
    <row r="14" customFormat="false" ht="15" hidden="false" customHeight="false" outlineLevel="0" collapsed="false">
      <c r="A14" s="12" t="s">
        <v>142</v>
      </c>
      <c r="B14" s="12" t="s">
        <v>143</v>
      </c>
      <c r="C14" s="12" t="s">
        <v>144</v>
      </c>
      <c r="D14" s="12" t="s">
        <v>65</v>
      </c>
      <c r="E14" s="12" t="s">
        <v>91</v>
      </c>
      <c r="F14" s="12" t="s">
        <v>67</v>
      </c>
      <c r="G14" s="12" t="s">
        <v>68</v>
      </c>
      <c r="H14" s="12" t="s">
        <v>145</v>
      </c>
      <c r="I14" s="12" t="s">
        <v>116</v>
      </c>
      <c r="J14" s="12" t="s">
        <v>140</v>
      </c>
      <c r="K14" s="12" t="s">
        <v>141</v>
      </c>
      <c r="L14" s="12" t="s">
        <v>141</v>
      </c>
      <c r="M14" s="12" t="s">
        <v>130</v>
      </c>
      <c r="N14" s="12" t="s">
        <v>75</v>
      </c>
      <c r="O14" s="12" t="s">
        <v>84</v>
      </c>
      <c r="P14" s="12" t="s">
        <v>85</v>
      </c>
      <c r="Q14" s="12"/>
      <c r="R14" s="12"/>
    </row>
    <row r="15" customFormat="false" ht="15" hidden="false" customHeight="false" outlineLevel="0" collapsed="false">
      <c r="A15" s="12" t="s">
        <v>146</v>
      </c>
      <c r="B15" s="12" t="s">
        <v>147</v>
      </c>
      <c r="C15" s="12" t="s">
        <v>148</v>
      </c>
      <c r="D15" s="12" t="s">
        <v>149</v>
      </c>
      <c r="E15" s="12" t="s">
        <v>91</v>
      </c>
      <c r="F15" s="12" t="s">
        <v>150</v>
      </c>
      <c r="G15" s="12" t="s">
        <v>104</v>
      </c>
      <c r="H15" s="12" t="s">
        <v>151</v>
      </c>
      <c r="I15" s="12" t="s">
        <v>108</v>
      </c>
      <c r="J15" s="12" t="s">
        <v>82</v>
      </c>
      <c r="K15" s="12" t="s">
        <v>107</v>
      </c>
      <c r="L15" s="12" t="s">
        <v>152</v>
      </c>
      <c r="M15" s="12" t="s">
        <v>97</v>
      </c>
      <c r="N15" s="12" t="s">
        <v>75</v>
      </c>
      <c r="O15" s="12"/>
      <c r="P15" s="12"/>
      <c r="Q15" s="12"/>
      <c r="R15" s="12" t="s">
        <v>86</v>
      </c>
    </row>
    <row r="16" customFormat="false" ht="15" hidden="false" customHeight="false" outlineLevel="0" collapsed="false">
      <c r="A16" s="12" t="s">
        <v>153</v>
      </c>
      <c r="B16" s="12" t="s">
        <v>154</v>
      </c>
      <c r="C16" s="12" t="s">
        <v>155</v>
      </c>
      <c r="D16" s="12" t="s">
        <v>90</v>
      </c>
      <c r="E16" s="12" t="s">
        <v>102</v>
      </c>
      <c r="F16" s="12" t="s">
        <v>103</v>
      </c>
      <c r="G16" s="12" t="s">
        <v>68</v>
      </c>
      <c r="H16" s="12" t="s">
        <v>156</v>
      </c>
      <c r="I16" s="12" t="s">
        <v>129</v>
      </c>
      <c r="J16" s="12" t="s">
        <v>157</v>
      </c>
      <c r="K16" s="12" t="s">
        <v>132</v>
      </c>
      <c r="L16" s="12" t="s">
        <v>132</v>
      </c>
      <c r="M16" s="12" t="s">
        <v>158</v>
      </c>
      <c r="N16" s="12" t="s">
        <v>75</v>
      </c>
      <c r="O16" s="12" t="s">
        <v>110</v>
      </c>
      <c r="P16" s="12" t="s">
        <v>85</v>
      </c>
      <c r="Q16" s="12"/>
      <c r="R16" s="12"/>
    </row>
    <row r="17" customFormat="false" ht="15" hidden="false" customHeight="false" outlineLevel="0" collapsed="false">
      <c r="A17" s="12" t="s">
        <v>159</v>
      </c>
      <c r="B17" s="12" t="s">
        <v>154</v>
      </c>
      <c r="C17" s="12" t="s">
        <v>120</v>
      </c>
      <c r="D17" s="12" t="s">
        <v>149</v>
      </c>
      <c r="E17" s="12" t="s">
        <v>66</v>
      </c>
      <c r="F17" s="12" t="s">
        <v>160</v>
      </c>
      <c r="G17" s="12" t="s">
        <v>104</v>
      </c>
      <c r="H17" s="12" t="s">
        <v>161</v>
      </c>
      <c r="I17" s="12" t="s">
        <v>152</v>
      </c>
      <c r="J17" s="12" t="s">
        <v>106</v>
      </c>
      <c r="K17" s="12" t="s">
        <v>162</v>
      </c>
      <c r="L17" s="12" t="s">
        <v>140</v>
      </c>
      <c r="M17" s="12" t="s">
        <v>108</v>
      </c>
      <c r="N17" s="12" t="s">
        <v>75</v>
      </c>
      <c r="O17" s="12"/>
      <c r="P17" s="12"/>
      <c r="Q17" s="12"/>
      <c r="R17" s="12"/>
    </row>
    <row r="18" customFormat="false" ht="15" hidden="false" customHeight="false" outlineLevel="0" collapsed="false">
      <c r="A18" s="12" t="s">
        <v>163</v>
      </c>
      <c r="B18" s="12" t="s">
        <v>73</v>
      </c>
      <c r="C18" s="12" t="s">
        <v>164</v>
      </c>
      <c r="D18" s="12" t="s">
        <v>149</v>
      </c>
      <c r="E18" s="12" t="s">
        <v>102</v>
      </c>
      <c r="F18" s="12" t="s">
        <v>160</v>
      </c>
      <c r="G18" s="12" t="s">
        <v>104</v>
      </c>
      <c r="H18" s="12" t="s">
        <v>165</v>
      </c>
      <c r="I18" s="12" t="s">
        <v>116</v>
      </c>
      <c r="J18" s="12" t="s">
        <v>166</v>
      </c>
      <c r="K18" s="12" t="s">
        <v>116</v>
      </c>
      <c r="L18" s="12" t="s">
        <v>167</v>
      </c>
      <c r="M18" s="12" t="s">
        <v>152</v>
      </c>
      <c r="N18" s="12" t="s">
        <v>75</v>
      </c>
      <c r="O18" s="12"/>
      <c r="P18" s="12"/>
      <c r="Q18" s="12"/>
      <c r="R18" s="12" t="s">
        <v>168</v>
      </c>
    </row>
    <row r="19" customFormat="false" ht="15" hidden="false" customHeight="false" outlineLevel="0" collapsed="false">
      <c r="A19" s="12" t="s">
        <v>169</v>
      </c>
      <c r="B19" s="12" t="s">
        <v>106</v>
      </c>
      <c r="C19" s="12" t="s">
        <v>170</v>
      </c>
      <c r="D19" s="12" t="s">
        <v>65</v>
      </c>
      <c r="E19" s="12" t="s">
        <v>91</v>
      </c>
      <c r="F19" s="12" t="s">
        <v>67</v>
      </c>
      <c r="G19" s="12" t="s">
        <v>104</v>
      </c>
      <c r="H19" s="12" t="s">
        <v>171</v>
      </c>
      <c r="I19" s="12" t="s">
        <v>130</v>
      </c>
      <c r="J19" s="12" t="s">
        <v>109</v>
      </c>
      <c r="K19" s="12" t="s">
        <v>140</v>
      </c>
      <c r="L19" s="12" t="s">
        <v>172</v>
      </c>
      <c r="M19" s="12" t="s">
        <v>81</v>
      </c>
      <c r="N19" s="12" t="s">
        <v>75</v>
      </c>
      <c r="O19" s="12"/>
      <c r="P19" s="12"/>
      <c r="Q19" s="12"/>
      <c r="R19" s="12" t="s">
        <v>86</v>
      </c>
    </row>
    <row r="20" customFormat="false" ht="15" hidden="false" customHeight="false" outlineLevel="0" collapsed="false">
      <c r="A20" s="12" t="s">
        <v>173</v>
      </c>
      <c r="B20" s="12" t="s">
        <v>96</v>
      </c>
      <c r="C20" s="12" t="s">
        <v>174</v>
      </c>
      <c r="D20" s="12" t="s">
        <v>90</v>
      </c>
      <c r="E20" s="12" t="s">
        <v>102</v>
      </c>
      <c r="F20" s="12" t="s">
        <v>67</v>
      </c>
      <c r="G20" s="12" t="s">
        <v>104</v>
      </c>
      <c r="H20" s="12" t="s">
        <v>175</v>
      </c>
      <c r="I20" s="12" t="s">
        <v>157</v>
      </c>
      <c r="J20" s="12" t="s">
        <v>172</v>
      </c>
      <c r="K20" s="12" t="s">
        <v>132</v>
      </c>
      <c r="L20" s="12" t="s">
        <v>176</v>
      </c>
      <c r="M20" s="12" t="s">
        <v>177</v>
      </c>
      <c r="N20" s="12" t="s">
        <v>75</v>
      </c>
      <c r="O20" s="12" t="s">
        <v>110</v>
      </c>
      <c r="P20" s="12" t="s">
        <v>85</v>
      </c>
      <c r="Q20" s="12"/>
      <c r="R20" s="12" t="s">
        <v>134</v>
      </c>
    </row>
    <row r="21" customFormat="false" ht="15" hidden="false" customHeight="false" outlineLevel="0" collapsed="false">
      <c r="A21" s="12" t="s">
        <v>178</v>
      </c>
      <c r="B21" s="12" t="s">
        <v>80</v>
      </c>
      <c r="C21" s="12" t="s">
        <v>128</v>
      </c>
      <c r="D21" s="12" t="s">
        <v>90</v>
      </c>
      <c r="E21" s="12" t="s">
        <v>66</v>
      </c>
      <c r="F21" s="12" t="s">
        <v>103</v>
      </c>
      <c r="G21" s="12" t="s">
        <v>104</v>
      </c>
      <c r="H21" s="12" t="s">
        <v>179</v>
      </c>
      <c r="I21" s="12" t="s">
        <v>117</v>
      </c>
      <c r="J21" s="12" t="s">
        <v>132</v>
      </c>
      <c r="K21" s="12" t="s">
        <v>180</v>
      </c>
      <c r="L21" s="12" t="s">
        <v>181</v>
      </c>
      <c r="M21" s="12" t="s">
        <v>182</v>
      </c>
      <c r="N21" s="12" t="s">
        <v>75</v>
      </c>
      <c r="O21" s="12" t="s">
        <v>84</v>
      </c>
      <c r="P21" s="12" t="s">
        <v>183</v>
      </c>
      <c r="Q21" s="12"/>
      <c r="R21" s="12"/>
    </row>
    <row r="22" customFormat="false" ht="15" hidden="false" customHeight="false" outlineLevel="0" collapsed="false">
      <c r="A22" s="12" t="s">
        <v>184</v>
      </c>
      <c r="B22" s="12" t="s">
        <v>80</v>
      </c>
      <c r="C22" s="12" t="s">
        <v>185</v>
      </c>
      <c r="D22" s="12" t="s">
        <v>90</v>
      </c>
      <c r="E22" s="12" t="s">
        <v>91</v>
      </c>
      <c r="F22" s="12" t="s">
        <v>121</v>
      </c>
      <c r="G22" s="12" t="s">
        <v>68</v>
      </c>
      <c r="H22" s="12" t="s">
        <v>186</v>
      </c>
      <c r="I22" s="12" t="s">
        <v>181</v>
      </c>
      <c r="J22" s="12" t="s">
        <v>116</v>
      </c>
      <c r="K22" s="12" t="s">
        <v>109</v>
      </c>
      <c r="L22" s="12" t="s">
        <v>187</v>
      </c>
      <c r="M22" s="12"/>
      <c r="N22" s="12" t="s">
        <v>188</v>
      </c>
      <c r="O22" s="12"/>
      <c r="P22" s="12"/>
      <c r="Q22" s="12" t="s">
        <v>189</v>
      </c>
      <c r="R22" s="12" t="s">
        <v>190</v>
      </c>
    </row>
    <row r="23" customFormat="false" ht="15" hidden="false" customHeight="false" outlineLevel="0" collapsed="false">
      <c r="A23" s="12" t="s">
        <v>191</v>
      </c>
      <c r="B23" s="12" t="s">
        <v>80</v>
      </c>
      <c r="C23" s="12" t="s">
        <v>192</v>
      </c>
      <c r="D23" s="12" t="s">
        <v>90</v>
      </c>
      <c r="E23" s="12" t="s">
        <v>102</v>
      </c>
      <c r="F23" s="12" t="s">
        <v>121</v>
      </c>
      <c r="G23" s="12" t="s">
        <v>104</v>
      </c>
      <c r="H23" s="12" t="s">
        <v>193</v>
      </c>
      <c r="I23" s="12" t="s">
        <v>194</v>
      </c>
      <c r="J23" s="12" t="s">
        <v>195</v>
      </c>
      <c r="K23" s="12" t="s">
        <v>180</v>
      </c>
      <c r="L23" s="12" t="s">
        <v>196</v>
      </c>
      <c r="M23" s="12" t="s">
        <v>197</v>
      </c>
      <c r="N23" s="12" t="s">
        <v>75</v>
      </c>
      <c r="O23" s="12" t="s">
        <v>110</v>
      </c>
      <c r="P23" s="12" t="s">
        <v>85</v>
      </c>
      <c r="Q23" s="12"/>
      <c r="R23" s="12"/>
    </row>
    <row r="24" customFormat="false" ht="15" hidden="false" customHeight="false" outlineLevel="0" collapsed="false">
      <c r="A24" s="12" t="s">
        <v>198</v>
      </c>
      <c r="B24" s="12" t="s">
        <v>166</v>
      </c>
      <c r="C24" s="12" t="s">
        <v>199</v>
      </c>
      <c r="D24" s="12" t="s">
        <v>90</v>
      </c>
      <c r="E24" s="12" t="s">
        <v>91</v>
      </c>
      <c r="F24" s="12" t="s">
        <v>103</v>
      </c>
      <c r="G24" s="12" t="s">
        <v>68</v>
      </c>
      <c r="H24" s="12" t="s">
        <v>200</v>
      </c>
      <c r="I24" s="12" t="s">
        <v>117</v>
      </c>
      <c r="J24" s="12" t="s">
        <v>124</v>
      </c>
      <c r="K24" s="12" t="s">
        <v>132</v>
      </c>
      <c r="L24" s="12" t="s">
        <v>181</v>
      </c>
      <c r="M24" s="12" t="s">
        <v>196</v>
      </c>
      <c r="N24" s="12" t="s">
        <v>75</v>
      </c>
      <c r="O24" s="12"/>
      <c r="P24" s="12"/>
      <c r="Q24" s="12"/>
      <c r="R24" s="12"/>
    </row>
    <row r="25" customFormat="false" ht="15" hidden="false" customHeight="false" outlineLevel="0" collapsed="false">
      <c r="A25" s="12" t="s">
        <v>201</v>
      </c>
      <c r="B25" s="12" t="s">
        <v>166</v>
      </c>
      <c r="C25" s="12" t="s">
        <v>202</v>
      </c>
      <c r="D25" s="12" t="s">
        <v>149</v>
      </c>
      <c r="E25" s="12" t="s">
        <v>66</v>
      </c>
      <c r="F25" s="12" t="s">
        <v>203</v>
      </c>
      <c r="G25" s="12" t="s">
        <v>104</v>
      </c>
      <c r="H25" s="12" t="s">
        <v>204</v>
      </c>
      <c r="I25" s="12" t="s">
        <v>129</v>
      </c>
      <c r="J25" s="12" t="s">
        <v>152</v>
      </c>
      <c r="K25" s="12" t="s">
        <v>129</v>
      </c>
      <c r="L25" s="12" t="s">
        <v>172</v>
      </c>
      <c r="M25" s="12" t="s">
        <v>132</v>
      </c>
      <c r="N25" s="12" t="s">
        <v>75</v>
      </c>
      <c r="O25" s="12"/>
      <c r="P25" s="12" t="s">
        <v>111</v>
      </c>
      <c r="Q25" s="12"/>
      <c r="R25" s="12" t="s">
        <v>134</v>
      </c>
    </row>
    <row r="26" customFormat="false" ht="15" hidden="false" customHeight="false" outlineLevel="0" collapsed="false">
      <c r="A26" s="12" t="s">
        <v>205</v>
      </c>
      <c r="B26" s="12" t="s">
        <v>162</v>
      </c>
      <c r="C26" s="12" t="s">
        <v>206</v>
      </c>
      <c r="D26" s="12" t="s">
        <v>207</v>
      </c>
      <c r="E26" s="12" t="s">
        <v>91</v>
      </c>
      <c r="F26" s="12" t="s">
        <v>160</v>
      </c>
      <c r="G26" s="12" t="s">
        <v>104</v>
      </c>
      <c r="H26" s="12" t="s">
        <v>208</v>
      </c>
      <c r="I26" s="12" t="s">
        <v>81</v>
      </c>
      <c r="J26" s="12" t="s">
        <v>152</v>
      </c>
      <c r="K26" s="12"/>
      <c r="L26" s="12" t="s">
        <v>129</v>
      </c>
      <c r="M26" s="12"/>
      <c r="N26" s="12" t="s">
        <v>209</v>
      </c>
      <c r="O26" s="12"/>
      <c r="P26" s="12"/>
      <c r="Q26" s="12" t="s">
        <v>210</v>
      </c>
      <c r="R26" s="12"/>
    </row>
    <row r="27" customFormat="false" ht="15" hidden="false" customHeight="false" outlineLevel="0" collapsed="false">
      <c r="A27" s="12" t="s">
        <v>211</v>
      </c>
      <c r="B27" s="12" t="s">
        <v>108</v>
      </c>
      <c r="C27" s="12" t="s">
        <v>212</v>
      </c>
      <c r="D27" s="12" t="s">
        <v>90</v>
      </c>
      <c r="E27" s="12" t="s">
        <v>91</v>
      </c>
      <c r="F27" s="12" t="s">
        <v>213</v>
      </c>
      <c r="G27" s="12" t="s">
        <v>68</v>
      </c>
      <c r="H27" s="12" t="s">
        <v>214</v>
      </c>
      <c r="I27" s="12" t="s">
        <v>83</v>
      </c>
      <c r="J27" s="12" t="s">
        <v>125</v>
      </c>
      <c r="K27" s="12" t="s">
        <v>81</v>
      </c>
      <c r="L27" s="12" t="s">
        <v>132</v>
      </c>
      <c r="M27" s="12" t="s">
        <v>123</v>
      </c>
      <c r="N27" s="12" t="s">
        <v>215</v>
      </c>
      <c r="O27" s="12"/>
      <c r="P27" s="12"/>
      <c r="Q27" s="12"/>
      <c r="R27" s="12" t="s">
        <v>98</v>
      </c>
    </row>
    <row r="28" customFormat="false" ht="15" hidden="false" customHeight="false" outlineLevel="0" collapsed="false">
      <c r="A28" s="12" t="s">
        <v>216</v>
      </c>
      <c r="B28" s="12" t="s">
        <v>139</v>
      </c>
      <c r="C28" s="12" t="s">
        <v>217</v>
      </c>
      <c r="D28" s="12" t="s">
        <v>65</v>
      </c>
      <c r="E28" s="12" t="s">
        <v>91</v>
      </c>
      <c r="F28" s="12" t="s">
        <v>121</v>
      </c>
      <c r="G28" s="12" t="s">
        <v>68</v>
      </c>
      <c r="H28" s="12" t="s">
        <v>218</v>
      </c>
      <c r="I28" s="12" t="s">
        <v>196</v>
      </c>
      <c r="J28" s="12"/>
      <c r="K28" s="12"/>
      <c r="L28" s="12" t="s">
        <v>219</v>
      </c>
      <c r="M28" s="12"/>
      <c r="N28" s="12" t="s">
        <v>209</v>
      </c>
      <c r="O28" s="12"/>
      <c r="P28" s="12"/>
      <c r="Q28" s="12" t="s">
        <v>220</v>
      </c>
      <c r="R28" s="12" t="s">
        <v>134</v>
      </c>
    </row>
    <row r="29" customFormat="false" ht="15" hidden="false" customHeight="false" outlineLevel="0" collapsed="false">
      <c r="A29" s="12" t="s">
        <v>221</v>
      </c>
      <c r="B29" s="12" t="s">
        <v>116</v>
      </c>
      <c r="C29" s="12" t="s">
        <v>222</v>
      </c>
      <c r="D29" s="12" t="s">
        <v>90</v>
      </c>
      <c r="E29" s="12" t="s">
        <v>91</v>
      </c>
      <c r="F29" s="12" t="s">
        <v>121</v>
      </c>
      <c r="G29" s="12" t="s">
        <v>68</v>
      </c>
      <c r="H29" s="12" t="s">
        <v>223</v>
      </c>
      <c r="I29" s="12" t="s">
        <v>197</v>
      </c>
      <c r="J29" s="12" t="s">
        <v>181</v>
      </c>
      <c r="K29" s="12" t="s">
        <v>224</v>
      </c>
      <c r="L29" s="12" t="s">
        <v>225</v>
      </c>
      <c r="M29" s="12" t="s">
        <v>182</v>
      </c>
      <c r="N29" s="12" t="s">
        <v>75</v>
      </c>
      <c r="O29" s="12"/>
      <c r="P29" s="12" t="s">
        <v>183</v>
      </c>
      <c r="Q29" s="12"/>
      <c r="R29" s="12" t="s">
        <v>226</v>
      </c>
    </row>
    <row r="30" customFormat="false" ht="15" hidden="false" customHeight="false" outlineLevel="0" collapsed="false">
      <c r="A30" s="12" t="s">
        <v>227</v>
      </c>
      <c r="B30" s="12" t="s">
        <v>167</v>
      </c>
      <c r="C30" s="12" t="s">
        <v>206</v>
      </c>
      <c r="D30" s="12" t="s">
        <v>149</v>
      </c>
      <c r="E30" s="12" t="s">
        <v>102</v>
      </c>
      <c r="F30" s="12" t="s">
        <v>160</v>
      </c>
      <c r="G30" s="12" t="s">
        <v>104</v>
      </c>
      <c r="H30" s="12" t="s">
        <v>228</v>
      </c>
      <c r="I30" s="12" t="s">
        <v>132</v>
      </c>
      <c r="J30" s="12" t="s">
        <v>130</v>
      </c>
      <c r="K30" s="12" t="s">
        <v>157</v>
      </c>
      <c r="L30" s="12" t="s">
        <v>158</v>
      </c>
      <c r="M30" s="12" t="s">
        <v>83</v>
      </c>
      <c r="N30" s="12" t="s">
        <v>75</v>
      </c>
      <c r="O30" s="12"/>
      <c r="P30" s="12"/>
      <c r="Q30" s="12"/>
      <c r="R30" s="12" t="s">
        <v>226</v>
      </c>
    </row>
    <row r="31" customFormat="false" ht="15" hidden="false" customHeight="false" outlineLevel="0" collapsed="false">
      <c r="A31" s="12" t="s">
        <v>229</v>
      </c>
      <c r="B31" s="12" t="s">
        <v>167</v>
      </c>
      <c r="C31" s="12" t="s">
        <v>64</v>
      </c>
      <c r="D31" s="12" t="s">
        <v>230</v>
      </c>
      <c r="E31" s="12" t="s">
        <v>91</v>
      </c>
      <c r="F31" s="12" t="s">
        <v>150</v>
      </c>
      <c r="G31" s="12" t="s">
        <v>68</v>
      </c>
      <c r="H31" s="12" t="s">
        <v>231</v>
      </c>
      <c r="I31" s="12" t="s">
        <v>117</v>
      </c>
      <c r="J31" s="12" t="s">
        <v>124</v>
      </c>
      <c r="K31" s="12" t="s">
        <v>176</v>
      </c>
      <c r="L31" s="12" t="s">
        <v>177</v>
      </c>
      <c r="M31" s="12" t="s">
        <v>117</v>
      </c>
      <c r="N31" s="12" t="s">
        <v>75</v>
      </c>
      <c r="O31" s="12"/>
      <c r="P31" s="12"/>
      <c r="Q31" s="12"/>
      <c r="R31" s="12" t="s">
        <v>226</v>
      </c>
    </row>
    <row r="32" customFormat="false" ht="15" hidden="false" customHeight="false" outlineLevel="0" collapsed="false">
      <c r="A32" s="12" t="s">
        <v>232</v>
      </c>
      <c r="B32" s="12" t="s">
        <v>125</v>
      </c>
      <c r="C32" s="12" t="s">
        <v>233</v>
      </c>
      <c r="D32" s="12" t="s">
        <v>149</v>
      </c>
      <c r="E32" s="12" t="s">
        <v>102</v>
      </c>
      <c r="F32" s="12" t="s">
        <v>203</v>
      </c>
      <c r="G32" s="12" t="s">
        <v>104</v>
      </c>
      <c r="H32" s="12" t="s">
        <v>234</v>
      </c>
      <c r="I32" s="12" t="s">
        <v>158</v>
      </c>
      <c r="J32" s="12" t="s">
        <v>129</v>
      </c>
      <c r="K32" s="12" t="s">
        <v>124</v>
      </c>
      <c r="L32" s="12" t="s">
        <v>195</v>
      </c>
      <c r="M32" s="12" t="s">
        <v>176</v>
      </c>
      <c r="N32" s="12" t="s">
        <v>75</v>
      </c>
      <c r="O32" s="12"/>
      <c r="P32" s="12"/>
      <c r="Q32" s="12"/>
      <c r="R32" s="12" t="s">
        <v>86</v>
      </c>
    </row>
    <row r="33" customFormat="false" ht="15" hidden="false" customHeight="false" outlineLevel="0" collapsed="false">
      <c r="A33" s="12" t="s">
        <v>235</v>
      </c>
      <c r="B33" s="12" t="s">
        <v>125</v>
      </c>
      <c r="C33" s="12" t="s">
        <v>78</v>
      </c>
      <c r="D33" s="12" t="s">
        <v>90</v>
      </c>
      <c r="E33" s="12" t="s">
        <v>91</v>
      </c>
      <c r="F33" s="12" t="s">
        <v>121</v>
      </c>
      <c r="G33" s="12" t="s">
        <v>68</v>
      </c>
      <c r="H33" s="12" t="s">
        <v>236</v>
      </c>
      <c r="I33" s="12" t="s">
        <v>182</v>
      </c>
      <c r="J33" s="12" t="s">
        <v>237</v>
      </c>
      <c r="K33" s="12" t="s">
        <v>238</v>
      </c>
      <c r="L33" s="12" t="s">
        <v>239</v>
      </c>
      <c r="M33" s="12" t="s">
        <v>240</v>
      </c>
      <c r="N33" s="12" t="s">
        <v>75</v>
      </c>
      <c r="O33" s="12" t="s">
        <v>110</v>
      </c>
      <c r="P33" s="12"/>
      <c r="Q33" s="12"/>
      <c r="R33" s="12"/>
    </row>
    <row r="34" customFormat="false" ht="15" hidden="false" customHeight="false" outlineLevel="0" collapsed="false">
      <c r="A34" s="12" t="s">
        <v>241</v>
      </c>
      <c r="B34" s="12" t="s">
        <v>81</v>
      </c>
      <c r="C34" s="12" t="s">
        <v>242</v>
      </c>
      <c r="D34" s="12" t="s">
        <v>90</v>
      </c>
      <c r="E34" s="12" t="s">
        <v>91</v>
      </c>
      <c r="F34" s="12" t="s">
        <v>150</v>
      </c>
      <c r="G34" s="12" t="s">
        <v>68</v>
      </c>
      <c r="H34" s="12" t="s">
        <v>243</v>
      </c>
      <c r="I34" s="12" t="s">
        <v>195</v>
      </c>
      <c r="J34" s="12" t="s">
        <v>176</v>
      </c>
      <c r="K34" s="12" t="s">
        <v>158</v>
      </c>
      <c r="L34" s="12" t="s">
        <v>194</v>
      </c>
      <c r="M34" s="12" t="s">
        <v>177</v>
      </c>
      <c r="N34" s="12" t="s">
        <v>75</v>
      </c>
      <c r="O34" s="12"/>
      <c r="P34" s="12"/>
      <c r="Q34" s="12"/>
      <c r="R34" s="12"/>
    </row>
    <row r="35" customFormat="false" ht="15" hidden="false" customHeight="false" outlineLevel="0" collapsed="false">
      <c r="A35" s="12" t="s">
        <v>244</v>
      </c>
      <c r="B35" s="12" t="s">
        <v>123</v>
      </c>
      <c r="C35" s="12" t="s">
        <v>164</v>
      </c>
      <c r="D35" s="12" t="s">
        <v>65</v>
      </c>
      <c r="E35" s="12" t="s">
        <v>91</v>
      </c>
      <c r="F35" s="12" t="s">
        <v>67</v>
      </c>
      <c r="G35" s="12" t="s">
        <v>114</v>
      </c>
      <c r="H35" s="12" t="s">
        <v>245</v>
      </c>
      <c r="I35" s="12" t="s">
        <v>187</v>
      </c>
      <c r="J35" s="12" t="s">
        <v>246</v>
      </c>
      <c r="K35" s="12" t="s">
        <v>219</v>
      </c>
      <c r="L35" s="12" t="s">
        <v>246</v>
      </c>
      <c r="M35" s="12" t="s">
        <v>247</v>
      </c>
      <c r="N35" s="12" t="s">
        <v>75</v>
      </c>
      <c r="O35" s="12" t="s">
        <v>110</v>
      </c>
      <c r="P35" s="12" t="s">
        <v>85</v>
      </c>
      <c r="Q35" s="12"/>
      <c r="R35" s="12" t="s">
        <v>168</v>
      </c>
    </row>
    <row r="36" customFormat="false" ht="15" hidden="false" customHeight="false" outlineLevel="0" collapsed="false">
      <c r="A36" s="12" t="s">
        <v>248</v>
      </c>
      <c r="B36" s="12" t="s">
        <v>123</v>
      </c>
      <c r="C36" s="12" t="s">
        <v>249</v>
      </c>
      <c r="D36" s="12" t="s">
        <v>90</v>
      </c>
      <c r="E36" s="12" t="s">
        <v>91</v>
      </c>
      <c r="F36" s="12" t="s">
        <v>103</v>
      </c>
      <c r="G36" s="12" t="s">
        <v>104</v>
      </c>
      <c r="H36" s="12" t="s">
        <v>250</v>
      </c>
      <c r="I36" s="12" t="s">
        <v>197</v>
      </c>
      <c r="J36" s="12" t="s">
        <v>172</v>
      </c>
      <c r="K36" s="12" t="s">
        <v>132</v>
      </c>
      <c r="L36" s="12" t="s">
        <v>225</v>
      </c>
      <c r="M36" s="12" t="s">
        <v>177</v>
      </c>
      <c r="N36" s="12" t="s">
        <v>75</v>
      </c>
      <c r="O36" s="12"/>
      <c r="P36" s="12"/>
      <c r="Q36" s="12"/>
      <c r="R36" s="12" t="s">
        <v>168</v>
      </c>
    </row>
    <row r="37" customFormat="false" ht="15" hidden="false" customHeight="false" outlineLevel="0" collapsed="false">
      <c r="A37" s="12" t="s">
        <v>248</v>
      </c>
      <c r="B37" s="12" t="s">
        <v>123</v>
      </c>
      <c r="C37" s="12" t="s">
        <v>249</v>
      </c>
      <c r="D37" s="12" t="s">
        <v>90</v>
      </c>
      <c r="E37" s="12" t="s">
        <v>91</v>
      </c>
      <c r="F37" s="12" t="s">
        <v>103</v>
      </c>
      <c r="G37" s="12" t="s">
        <v>104</v>
      </c>
      <c r="H37" s="12" t="s">
        <v>250</v>
      </c>
      <c r="I37" s="12" t="s">
        <v>197</v>
      </c>
      <c r="J37" s="12" t="s">
        <v>172</v>
      </c>
      <c r="K37" s="12" t="s">
        <v>132</v>
      </c>
      <c r="L37" s="12" t="s">
        <v>225</v>
      </c>
      <c r="M37" s="12" t="s">
        <v>177</v>
      </c>
      <c r="N37" s="12" t="s">
        <v>75</v>
      </c>
      <c r="O37" s="12"/>
      <c r="P37" s="12"/>
      <c r="Q37" s="12"/>
      <c r="R37" s="12" t="s">
        <v>168</v>
      </c>
    </row>
    <row r="38" customFormat="false" ht="15" hidden="false" customHeight="false" outlineLevel="0" collapsed="false">
      <c r="A38" s="12" t="s">
        <v>251</v>
      </c>
      <c r="B38" s="12" t="s">
        <v>252</v>
      </c>
      <c r="C38" s="12" t="s">
        <v>253</v>
      </c>
      <c r="D38" s="12" t="s">
        <v>149</v>
      </c>
      <c r="E38" s="12" t="s">
        <v>102</v>
      </c>
      <c r="F38" s="12" t="s">
        <v>160</v>
      </c>
      <c r="G38" s="12" t="s">
        <v>104</v>
      </c>
      <c r="H38" s="12" t="s">
        <v>254</v>
      </c>
      <c r="I38" s="12" t="s">
        <v>180</v>
      </c>
      <c r="J38" s="12" t="s">
        <v>195</v>
      </c>
      <c r="K38" s="12" t="s">
        <v>180</v>
      </c>
      <c r="L38" s="12" t="s">
        <v>255</v>
      </c>
      <c r="M38" s="12" t="s">
        <v>256</v>
      </c>
      <c r="N38" s="12" t="s">
        <v>75</v>
      </c>
      <c r="O38" s="12"/>
      <c r="P38" s="12"/>
      <c r="Q38" s="12"/>
      <c r="R38" s="12"/>
    </row>
    <row r="39" customFormat="false" ht="15" hidden="false" customHeight="false" outlineLevel="0" collapsed="false">
      <c r="A39" s="12" t="s">
        <v>257</v>
      </c>
      <c r="B39" s="12" t="s">
        <v>172</v>
      </c>
      <c r="C39" s="12" t="s">
        <v>258</v>
      </c>
      <c r="D39" s="12" t="s">
        <v>90</v>
      </c>
      <c r="E39" s="12" t="s">
        <v>91</v>
      </c>
      <c r="F39" s="12" t="s">
        <v>67</v>
      </c>
      <c r="G39" s="12" t="s">
        <v>92</v>
      </c>
      <c r="H39" s="12" t="s">
        <v>259</v>
      </c>
      <c r="I39" s="12" t="s">
        <v>260</v>
      </c>
      <c r="J39" s="12" t="s">
        <v>219</v>
      </c>
      <c r="K39" s="12" t="s">
        <v>225</v>
      </c>
      <c r="L39" s="12" t="s">
        <v>182</v>
      </c>
      <c r="M39" s="12" t="s">
        <v>246</v>
      </c>
      <c r="N39" s="12" t="s">
        <v>75</v>
      </c>
      <c r="O39" s="12"/>
      <c r="P39" s="12" t="s">
        <v>85</v>
      </c>
      <c r="Q39" s="12"/>
      <c r="R39" s="12"/>
    </row>
    <row r="40" customFormat="false" ht="15" hidden="false" customHeight="false" outlineLevel="0" collapsed="false">
      <c r="A40" s="12" t="s">
        <v>261</v>
      </c>
      <c r="B40" s="12" t="s">
        <v>124</v>
      </c>
      <c r="C40" s="12" t="s">
        <v>262</v>
      </c>
      <c r="D40" s="12" t="s">
        <v>90</v>
      </c>
      <c r="E40" s="12" t="s">
        <v>91</v>
      </c>
      <c r="F40" s="12" t="s">
        <v>150</v>
      </c>
      <c r="G40" s="12" t="s">
        <v>68</v>
      </c>
      <c r="H40" s="12" t="s">
        <v>263</v>
      </c>
      <c r="I40" s="12" t="s">
        <v>255</v>
      </c>
      <c r="J40" s="12" t="s">
        <v>264</v>
      </c>
      <c r="K40" s="12" t="s">
        <v>195</v>
      </c>
      <c r="L40" s="12" t="s">
        <v>260</v>
      </c>
      <c r="M40" s="12" t="s">
        <v>256</v>
      </c>
      <c r="N40" s="12" t="s">
        <v>75</v>
      </c>
      <c r="O40" s="12"/>
      <c r="P40" s="12" t="s">
        <v>183</v>
      </c>
      <c r="Q40" s="12"/>
      <c r="R40" s="12"/>
    </row>
    <row r="41" customFormat="false" ht="15" hidden="false" customHeight="false" outlineLevel="0" collapsed="false">
      <c r="A41" s="12" t="s">
        <v>265</v>
      </c>
      <c r="B41" s="12" t="s">
        <v>124</v>
      </c>
      <c r="C41" s="12" t="s">
        <v>266</v>
      </c>
      <c r="D41" s="12" t="s">
        <v>149</v>
      </c>
      <c r="E41" s="12" t="s">
        <v>91</v>
      </c>
      <c r="F41" s="12" t="s">
        <v>150</v>
      </c>
      <c r="G41" s="12" t="s">
        <v>104</v>
      </c>
      <c r="H41" s="12"/>
      <c r="I41" s="12" t="s">
        <v>255</v>
      </c>
      <c r="J41" s="12" t="s">
        <v>196</v>
      </c>
      <c r="K41" s="12" t="s">
        <v>260</v>
      </c>
      <c r="L41" s="12" t="s">
        <v>260</v>
      </c>
      <c r="M41" s="12" t="s">
        <v>219</v>
      </c>
      <c r="N41" s="12" t="s">
        <v>75</v>
      </c>
      <c r="O41" s="12" t="s">
        <v>110</v>
      </c>
      <c r="P41" s="12" t="s">
        <v>85</v>
      </c>
      <c r="Q41" s="12"/>
      <c r="R41" s="12"/>
    </row>
    <row r="42" customFormat="false" ht="15" hidden="false" customHeight="false" outlineLevel="0" collapsed="false">
      <c r="A42" s="12" t="s">
        <v>267</v>
      </c>
      <c r="B42" s="12" t="s">
        <v>132</v>
      </c>
      <c r="C42" s="12" t="s">
        <v>268</v>
      </c>
      <c r="D42" s="12" t="s">
        <v>90</v>
      </c>
      <c r="E42" s="12" t="s">
        <v>91</v>
      </c>
      <c r="F42" s="12" t="s">
        <v>160</v>
      </c>
      <c r="G42" s="12" t="s">
        <v>68</v>
      </c>
      <c r="H42" s="12" t="s">
        <v>269</v>
      </c>
      <c r="I42" s="12" t="s">
        <v>180</v>
      </c>
      <c r="J42" s="12" t="s">
        <v>176</v>
      </c>
      <c r="K42" s="12" t="s">
        <v>117</v>
      </c>
      <c r="L42" s="12" t="s">
        <v>255</v>
      </c>
      <c r="M42" s="12" t="s">
        <v>270</v>
      </c>
      <c r="N42" s="12" t="s">
        <v>75</v>
      </c>
      <c r="O42" s="12"/>
      <c r="P42" s="12"/>
      <c r="Q42" s="12"/>
      <c r="R42" s="12" t="s">
        <v>86</v>
      </c>
    </row>
    <row r="43" customFormat="false" ht="15" hidden="false" customHeight="false" outlineLevel="0" collapsed="false">
      <c r="A43" s="12" t="s">
        <v>271</v>
      </c>
      <c r="B43" s="12" t="s">
        <v>176</v>
      </c>
      <c r="C43" s="12" t="s">
        <v>272</v>
      </c>
      <c r="D43" s="12" t="s">
        <v>90</v>
      </c>
      <c r="E43" s="12" t="s">
        <v>91</v>
      </c>
      <c r="F43" s="12" t="s">
        <v>67</v>
      </c>
      <c r="G43" s="12" t="s">
        <v>104</v>
      </c>
      <c r="H43" s="12" t="s">
        <v>273</v>
      </c>
      <c r="I43" s="12" t="s">
        <v>219</v>
      </c>
      <c r="J43" s="12" t="s">
        <v>270</v>
      </c>
      <c r="K43" s="12" t="s">
        <v>255</v>
      </c>
      <c r="L43" s="12" t="s">
        <v>247</v>
      </c>
      <c r="M43" s="12" t="s">
        <v>246</v>
      </c>
      <c r="N43" s="12" t="s">
        <v>75</v>
      </c>
      <c r="O43" s="12"/>
      <c r="P43" s="12"/>
      <c r="Q43" s="12"/>
      <c r="R43" s="12" t="s">
        <v>134</v>
      </c>
    </row>
    <row r="44" customFormat="false" ht="15" hidden="false" customHeight="false" outlineLevel="0" collapsed="false">
      <c r="A44" s="12" t="s">
        <v>274</v>
      </c>
      <c r="B44" s="12" t="s">
        <v>158</v>
      </c>
      <c r="C44" s="12" t="s">
        <v>275</v>
      </c>
      <c r="D44" s="12" t="s">
        <v>65</v>
      </c>
      <c r="E44" s="12" t="s">
        <v>91</v>
      </c>
      <c r="F44" s="12" t="s">
        <v>103</v>
      </c>
      <c r="G44" s="12" t="s">
        <v>104</v>
      </c>
      <c r="H44" s="12" t="s">
        <v>276</v>
      </c>
      <c r="I44" s="12" t="s">
        <v>247</v>
      </c>
      <c r="J44" s="12"/>
      <c r="K44" s="12"/>
      <c r="L44" s="12" t="s">
        <v>237</v>
      </c>
      <c r="M44" s="12"/>
      <c r="N44" s="12" t="s">
        <v>188</v>
      </c>
      <c r="O44" s="12"/>
      <c r="P44" s="12"/>
      <c r="Q44" s="12" t="s">
        <v>189</v>
      </c>
      <c r="R44" s="12" t="s">
        <v>134</v>
      </c>
    </row>
    <row r="45" customFormat="false" ht="15" hidden="false" customHeight="false" outlineLevel="0" collapsed="false">
      <c r="A45" s="12" t="s">
        <v>277</v>
      </c>
      <c r="B45" s="12" t="s">
        <v>158</v>
      </c>
      <c r="C45" s="12" t="s">
        <v>278</v>
      </c>
      <c r="D45" s="12" t="s">
        <v>65</v>
      </c>
      <c r="E45" s="12" t="s">
        <v>91</v>
      </c>
      <c r="F45" s="12" t="s">
        <v>160</v>
      </c>
      <c r="G45" s="12" t="s">
        <v>68</v>
      </c>
      <c r="H45" s="12" t="s">
        <v>279</v>
      </c>
      <c r="I45" s="12" t="s">
        <v>255</v>
      </c>
      <c r="J45" s="12" t="s">
        <v>195</v>
      </c>
      <c r="K45" s="12" t="s">
        <v>181</v>
      </c>
      <c r="L45" s="12" t="s">
        <v>260</v>
      </c>
      <c r="M45" s="12" t="s">
        <v>224</v>
      </c>
      <c r="N45" s="12" t="s">
        <v>75</v>
      </c>
      <c r="O45" s="12"/>
      <c r="P45" s="12"/>
      <c r="Q45" s="12"/>
      <c r="R45" s="12"/>
    </row>
    <row r="46" customFormat="false" ht="15" hidden="false" customHeight="false" outlineLevel="0" collapsed="false">
      <c r="A46" s="12" t="s">
        <v>280</v>
      </c>
      <c r="B46" s="12" t="s">
        <v>264</v>
      </c>
      <c r="C46" s="12" t="s">
        <v>217</v>
      </c>
      <c r="D46" s="12" t="s">
        <v>65</v>
      </c>
      <c r="E46" s="12" t="s">
        <v>91</v>
      </c>
      <c r="F46" s="12" t="s">
        <v>103</v>
      </c>
      <c r="G46" s="12" t="s">
        <v>68</v>
      </c>
      <c r="H46" s="12" t="s">
        <v>281</v>
      </c>
      <c r="I46" s="12" t="s">
        <v>282</v>
      </c>
      <c r="J46" s="12" t="s">
        <v>219</v>
      </c>
      <c r="K46" s="12" t="s">
        <v>225</v>
      </c>
      <c r="L46" s="12" t="s">
        <v>238</v>
      </c>
      <c r="M46" s="12" t="s">
        <v>283</v>
      </c>
      <c r="N46" s="12" t="s">
        <v>75</v>
      </c>
      <c r="O46" s="12"/>
      <c r="P46" s="12" t="s">
        <v>183</v>
      </c>
      <c r="Q46" s="12"/>
      <c r="R46" s="12" t="s">
        <v>134</v>
      </c>
    </row>
    <row r="47" customFormat="false" ht="15" hidden="false" customHeight="false" outlineLevel="0" collapsed="false">
      <c r="A47" s="12" t="s">
        <v>284</v>
      </c>
      <c r="B47" s="12" t="s">
        <v>177</v>
      </c>
      <c r="C47" s="12" t="s">
        <v>285</v>
      </c>
      <c r="D47" s="12" t="s">
        <v>90</v>
      </c>
      <c r="E47" s="12" t="s">
        <v>91</v>
      </c>
      <c r="F47" s="12" t="s">
        <v>150</v>
      </c>
      <c r="G47" s="12" t="s">
        <v>104</v>
      </c>
      <c r="H47" s="12" t="s">
        <v>286</v>
      </c>
      <c r="I47" s="12" t="s">
        <v>219</v>
      </c>
      <c r="J47" s="12" t="s">
        <v>197</v>
      </c>
      <c r="K47" s="12" t="s">
        <v>260</v>
      </c>
      <c r="L47" s="12" t="s">
        <v>287</v>
      </c>
      <c r="M47" s="12" t="s">
        <v>246</v>
      </c>
      <c r="N47" s="12" t="s">
        <v>75</v>
      </c>
      <c r="O47" s="12"/>
      <c r="P47" s="12"/>
      <c r="Q47" s="12"/>
      <c r="R47" s="12"/>
    </row>
    <row r="48" customFormat="false" ht="15" hidden="false" customHeight="false" outlineLevel="0" collapsed="false">
      <c r="A48" s="12" t="s">
        <v>288</v>
      </c>
      <c r="B48" s="12" t="s">
        <v>270</v>
      </c>
      <c r="C48" s="12" t="s">
        <v>289</v>
      </c>
      <c r="D48" s="12" t="s">
        <v>65</v>
      </c>
      <c r="E48" s="12" t="s">
        <v>91</v>
      </c>
      <c r="F48" s="12" t="s">
        <v>67</v>
      </c>
      <c r="G48" s="12" t="s">
        <v>114</v>
      </c>
      <c r="H48" s="12" t="s">
        <v>290</v>
      </c>
      <c r="I48" s="12" t="s">
        <v>237</v>
      </c>
      <c r="J48" s="12" t="s">
        <v>291</v>
      </c>
      <c r="K48" s="12" t="s">
        <v>282</v>
      </c>
      <c r="L48" s="12" t="s">
        <v>240</v>
      </c>
      <c r="M48" s="12" t="s">
        <v>237</v>
      </c>
      <c r="N48" s="12" t="s">
        <v>75</v>
      </c>
      <c r="O48" s="12"/>
      <c r="P48" s="12"/>
      <c r="Q48" s="12"/>
      <c r="R48" s="12" t="s">
        <v>134</v>
      </c>
    </row>
    <row r="49" customFormat="false" ht="15" hidden="false" customHeight="false" outlineLevel="0" collapsed="false">
      <c r="A49" s="12" t="s">
        <v>292</v>
      </c>
      <c r="B49" s="12" t="s">
        <v>187</v>
      </c>
      <c r="C49" s="12" t="s">
        <v>293</v>
      </c>
      <c r="D49" s="12" t="s">
        <v>149</v>
      </c>
      <c r="E49" s="12" t="s">
        <v>91</v>
      </c>
      <c r="F49" s="12" t="s">
        <v>150</v>
      </c>
      <c r="G49" s="12" t="s">
        <v>104</v>
      </c>
      <c r="H49" s="12" t="s">
        <v>294</v>
      </c>
      <c r="I49" s="12" t="s">
        <v>239</v>
      </c>
      <c r="J49" s="12" t="s">
        <v>291</v>
      </c>
      <c r="K49" s="12" t="s">
        <v>282</v>
      </c>
      <c r="L49" s="12" t="s">
        <v>237</v>
      </c>
      <c r="M49" s="12" t="s">
        <v>239</v>
      </c>
      <c r="N49" s="12" t="s">
        <v>75</v>
      </c>
      <c r="O49" s="12"/>
      <c r="P49" s="12"/>
      <c r="Q49" s="12"/>
      <c r="R49" s="12" t="s">
        <v>134</v>
      </c>
    </row>
    <row r="50" customFormat="false" ht="15" hidden="false" customHeight="false" outlineLevel="0" collapsed="false">
      <c r="A50" s="12" t="s">
        <v>295</v>
      </c>
      <c r="B50" s="12" t="s">
        <v>260</v>
      </c>
      <c r="C50" s="12" t="s">
        <v>296</v>
      </c>
      <c r="D50" s="12" t="s">
        <v>90</v>
      </c>
      <c r="E50" s="12" t="s">
        <v>91</v>
      </c>
      <c r="F50" s="12" t="s">
        <v>150</v>
      </c>
      <c r="G50" s="12" t="s">
        <v>68</v>
      </c>
      <c r="H50" s="12" t="s">
        <v>297</v>
      </c>
      <c r="I50" s="12" t="s">
        <v>238</v>
      </c>
      <c r="J50" s="12" t="s">
        <v>298</v>
      </c>
      <c r="K50" s="12" t="s">
        <v>237</v>
      </c>
      <c r="L50" s="12" t="s">
        <v>299</v>
      </c>
      <c r="M50" s="12" t="s">
        <v>300</v>
      </c>
      <c r="N50" s="12" t="s">
        <v>75</v>
      </c>
      <c r="O50" s="12"/>
      <c r="P50" s="12"/>
      <c r="Q50" s="12"/>
      <c r="R50" s="12"/>
    </row>
    <row r="51" customFormat="false" ht="15" hidden="false" customHeight="false" outlineLevel="0" collapsed="false">
      <c r="A51" s="12" t="s">
        <v>301</v>
      </c>
      <c r="B51" s="12" t="s">
        <v>246</v>
      </c>
      <c r="C51" s="12" t="s">
        <v>302</v>
      </c>
      <c r="D51" s="12" t="s">
        <v>149</v>
      </c>
      <c r="E51" s="12" t="s">
        <v>102</v>
      </c>
      <c r="F51" s="12" t="s">
        <v>150</v>
      </c>
      <c r="G51" s="12" t="s">
        <v>104</v>
      </c>
      <c r="H51" s="12" t="s">
        <v>303</v>
      </c>
      <c r="I51" s="12" t="s">
        <v>299</v>
      </c>
      <c r="J51" s="12" t="s">
        <v>282</v>
      </c>
      <c r="K51" s="12" t="s">
        <v>304</v>
      </c>
      <c r="L51" s="12" t="s">
        <v>305</v>
      </c>
      <c r="M51" s="12" t="s">
        <v>237</v>
      </c>
      <c r="N51" s="12" t="s">
        <v>75</v>
      </c>
      <c r="O51" s="12"/>
      <c r="P51" s="12"/>
      <c r="Q51" s="12"/>
      <c r="R51" s="12"/>
    </row>
    <row r="52" customFormat="false" ht="15" hidden="false" customHeight="false" outlineLevel="0" collapsed="false">
      <c r="A52" s="12" t="s">
        <v>306</v>
      </c>
      <c r="B52" s="12" t="s">
        <v>219</v>
      </c>
      <c r="C52" s="12" t="s">
        <v>307</v>
      </c>
      <c r="D52" s="12" t="s">
        <v>149</v>
      </c>
      <c r="E52" s="12" t="s">
        <v>91</v>
      </c>
      <c r="F52" s="12" t="s">
        <v>160</v>
      </c>
      <c r="G52" s="12" t="s">
        <v>104</v>
      </c>
      <c r="H52" s="12" t="s">
        <v>308</v>
      </c>
      <c r="I52" s="12" t="s">
        <v>237</v>
      </c>
      <c r="J52" s="12" t="s">
        <v>298</v>
      </c>
      <c r="K52" s="12" t="s">
        <v>304</v>
      </c>
      <c r="L52" s="12" t="s">
        <v>309</v>
      </c>
      <c r="M52" s="12" t="s">
        <v>310</v>
      </c>
      <c r="N52" s="12" t="s">
        <v>215</v>
      </c>
      <c r="O52" s="12"/>
      <c r="P52" s="12" t="s">
        <v>183</v>
      </c>
      <c r="Q52" s="12"/>
      <c r="R52" s="12" t="s">
        <v>98</v>
      </c>
    </row>
    <row r="53" customFormat="false" ht="15" hidden="false" customHeight="false" outlineLevel="0" collapsed="false">
      <c r="A53" s="12" t="s">
        <v>311</v>
      </c>
      <c r="B53" s="12" t="s">
        <v>225</v>
      </c>
      <c r="C53" s="12" t="s">
        <v>312</v>
      </c>
      <c r="D53" s="12" t="s">
        <v>90</v>
      </c>
      <c r="E53" s="12" t="s">
        <v>91</v>
      </c>
      <c r="F53" s="12" t="s">
        <v>150</v>
      </c>
      <c r="G53" s="12" t="s">
        <v>104</v>
      </c>
      <c r="H53" s="12" t="s">
        <v>313</v>
      </c>
      <c r="I53" s="12" t="s">
        <v>240</v>
      </c>
      <c r="J53" s="12" t="s">
        <v>298</v>
      </c>
      <c r="K53" s="12" t="s">
        <v>237</v>
      </c>
      <c r="L53" s="12" t="s">
        <v>314</v>
      </c>
      <c r="M53" s="12" t="s">
        <v>238</v>
      </c>
      <c r="N53" s="12" t="s">
        <v>75</v>
      </c>
      <c r="O53" s="12"/>
      <c r="P53" s="12"/>
      <c r="Q53" s="12"/>
      <c r="R53" s="12" t="s">
        <v>134</v>
      </c>
    </row>
    <row r="54" customFormat="false" ht="15" hidden="false" customHeight="false" outlineLevel="0" collapsed="false">
      <c r="A54" s="12" t="s">
        <v>315</v>
      </c>
      <c r="B54" s="12" t="s">
        <v>225</v>
      </c>
      <c r="C54" s="12" t="s">
        <v>316</v>
      </c>
      <c r="D54" s="12" t="s">
        <v>90</v>
      </c>
      <c r="E54" s="12" t="s">
        <v>102</v>
      </c>
      <c r="F54" s="12" t="s">
        <v>150</v>
      </c>
      <c r="G54" s="12" t="s">
        <v>104</v>
      </c>
      <c r="H54" s="12" t="s">
        <v>317</v>
      </c>
      <c r="I54" s="12" t="s">
        <v>305</v>
      </c>
      <c r="J54" s="12" t="s">
        <v>238</v>
      </c>
      <c r="K54" s="12" t="s">
        <v>309</v>
      </c>
      <c r="L54" s="12" t="s">
        <v>318</v>
      </c>
      <c r="M54" s="12" t="s">
        <v>299</v>
      </c>
      <c r="N54" s="12" t="s">
        <v>75</v>
      </c>
      <c r="O54" s="12"/>
      <c r="P54" s="12"/>
      <c r="Q54" s="12"/>
      <c r="R54" s="12" t="s">
        <v>226</v>
      </c>
    </row>
    <row r="55" customFormat="false" ht="15" hidden="false" customHeight="false" outlineLevel="0" collapsed="false">
      <c r="A55" s="12" t="s">
        <v>319</v>
      </c>
      <c r="B55" s="12" t="s">
        <v>182</v>
      </c>
      <c r="C55" s="12" t="s">
        <v>320</v>
      </c>
      <c r="D55" s="12" t="s">
        <v>149</v>
      </c>
      <c r="E55" s="12" t="s">
        <v>91</v>
      </c>
      <c r="F55" s="12" t="s">
        <v>160</v>
      </c>
      <c r="G55" s="12" t="s">
        <v>104</v>
      </c>
      <c r="H55" s="12" t="s">
        <v>321</v>
      </c>
      <c r="I55" s="12" t="s">
        <v>300</v>
      </c>
      <c r="J55" s="12" t="s">
        <v>282</v>
      </c>
      <c r="K55" s="12" t="s">
        <v>298</v>
      </c>
      <c r="L55" s="12" t="s">
        <v>240</v>
      </c>
      <c r="M55" s="12" t="s">
        <v>237</v>
      </c>
      <c r="N55" s="12" t="s">
        <v>75</v>
      </c>
      <c r="O55" s="12"/>
      <c r="P55" s="12"/>
      <c r="Q55" s="12"/>
      <c r="R55" s="12" t="s">
        <v>134</v>
      </c>
    </row>
    <row r="56" customFormat="false" ht="15" hidden="false" customHeight="false" outlineLevel="0" collapsed="false">
      <c r="A56" s="12" t="s">
        <v>322</v>
      </c>
      <c r="B56" s="12" t="s">
        <v>182</v>
      </c>
      <c r="C56" s="12" t="s">
        <v>222</v>
      </c>
      <c r="D56" s="12" t="s">
        <v>65</v>
      </c>
      <c r="E56" s="12" t="s">
        <v>66</v>
      </c>
      <c r="F56" s="12" t="s">
        <v>121</v>
      </c>
      <c r="G56" s="12" t="s">
        <v>104</v>
      </c>
      <c r="H56" s="12" t="s">
        <v>323</v>
      </c>
      <c r="I56" s="12" t="s">
        <v>324</v>
      </c>
      <c r="J56" s="12" t="s">
        <v>325</v>
      </c>
      <c r="K56" s="12" t="s">
        <v>326</v>
      </c>
      <c r="L56" s="12" t="s">
        <v>327</v>
      </c>
      <c r="M56" s="12"/>
      <c r="N56" s="12" t="s">
        <v>328</v>
      </c>
      <c r="O56" s="12" t="s">
        <v>329</v>
      </c>
      <c r="P56" s="12"/>
      <c r="Q56" s="12"/>
      <c r="R56" s="12"/>
    </row>
    <row r="57" customFormat="false" ht="15" hidden="false" customHeight="false" outlineLevel="0" collapsed="false">
      <c r="A57" s="12" t="s">
        <v>330</v>
      </c>
      <c r="B57" s="12" t="s">
        <v>291</v>
      </c>
      <c r="C57" s="12" t="s">
        <v>331</v>
      </c>
      <c r="D57" s="12" t="s">
        <v>90</v>
      </c>
      <c r="E57" s="12" t="s">
        <v>91</v>
      </c>
      <c r="F57" s="12" t="s">
        <v>150</v>
      </c>
      <c r="G57" s="12" t="s">
        <v>104</v>
      </c>
      <c r="H57" s="12" t="s">
        <v>332</v>
      </c>
      <c r="I57" s="12" t="s">
        <v>314</v>
      </c>
      <c r="J57" s="12" t="s">
        <v>299</v>
      </c>
      <c r="K57" s="12" t="s">
        <v>283</v>
      </c>
      <c r="L57" s="12" t="s">
        <v>333</v>
      </c>
      <c r="M57" s="12" t="s">
        <v>314</v>
      </c>
      <c r="N57" s="12" t="s">
        <v>75</v>
      </c>
      <c r="O57" s="12"/>
      <c r="P57" s="12"/>
      <c r="Q57" s="12"/>
      <c r="R57" s="12" t="s">
        <v>98</v>
      </c>
    </row>
    <row r="58" customFormat="false" ht="15" hidden="false" customHeight="false" outlineLevel="0" collapsed="false">
      <c r="A58" s="12" t="s">
        <v>334</v>
      </c>
      <c r="B58" s="12" t="s">
        <v>298</v>
      </c>
      <c r="C58" s="12" t="s">
        <v>253</v>
      </c>
      <c r="D58" s="12" t="s">
        <v>149</v>
      </c>
      <c r="E58" s="12" t="s">
        <v>91</v>
      </c>
      <c r="F58" s="12" t="s">
        <v>150</v>
      </c>
      <c r="G58" s="12" t="s">
        <v>104</v>
      </c>
      <c r="H58" s="12" t="s">
        <v>335</v>
      </c>
      <c r="I58" s="12" t="s">
        <v>336</v>
      </c>
      <c r="J58" s="12" t="s">
        <v>337</v>
      </c>
      <c r="K58" s="12" t="s">
        <v>333</v>
      </c>
      <c r="L58" s="12" t="s">
        <v>338</v>
      </c>
      <c r="M58" s="12" t="s">
        <v>336</v>
      </c>
      <c r="N58" s="12" t="s">
        <v>75</v>
      </c>
      <c r="O58" s="12"/>
      <c r="P58" s="12"/>
      <c r="Q58" s="12"/>
      <c r="R58" s="12" t="s">
        <v>98</v>
      </c>
    </row>
    <row r="59" customFormat="false" ht="15" hidden="false" customHeight="false" outlineLevel="0" collapsed="false">
      <c r="A59" s="12" t="s">
        <v>339</v>
      </c>
      <c r="B59" s="12" t="s">
        <v>298</v>
      </c>
      <c r="C59" s="12" t="s">
        <v>331</v>
      </c>
      <c r="D59" s="12" t="s">
        <v>65</v>
      </c>
      <c r="E59" s="12" t="s">
        <v>91</v>
      </c>
      <c r="F59" s="12" t="s">
        <v>67</v>
      </c>
      <c r="G59" s="12" t="s">
        <v>104</v>
      </c>
      <c r="H59" s="12" t="s">
        <v>340</v>
      </c>
      <c r="I59" s="12" t="s">
        <v>341</v>
      </c>
      <c r="J59" s="12" t="s">
        <v>318</v>
      </c>
      <c r="K59" s="12" t="s">
        <v>333</v>
      </c>
      <c r="L59" s="12" t="s">
        <v>325</v>
      </c>
      <c r="M59" s="12" t="s">
        <v>341</v>
      </c>
      <c r="N59" s="12" t="s">
        <v>75</v>
      </c>
      <c r="O59" s="12"/>
      <c r="P59" s="12"/>
      <c r="Q59" s="12"/>
      <c r="R59" s="12" t="s">
        <v>86</v>
      </c>
    </row>
    <row r="60" customFormat="false" ht="15" hidden="false" customHeight="false" outlineLevel="0" collapsed="false">
      <c r="A60" s="12" t="s">
        <v>342</v>
      </c>
      <c r="B60" s="12" t="s">
        <v>298</v>
      </c>
      <c r="C60" s="12" t="s">
        <v>343</v>
      </c>
      <c r="D60" s="12" t="s">
        <v>90</v>
      </c>
      <c r="E60" s="12" t="s">
        <v>66</v>
      </c>
      <c r="F60" s="12" t="s">
        <v>160</v>
      </c>
      <c r="G60" s="12" t="s">
        <v>104</v>
      </c>
      <c r="H60" s="12" t="s">
        <v>344</v>
      </c>
      <c r="I60" s="12" t="s">
        <v>336</v>
      </c>
      <c r="J60" s="12" t="s">
        <v>237</v>
      </c>
      <c r="K60" s="12" t="s">
        <v>333</v>
      </c>
      <c r="L60" s="12" t="s">
        <v>338</v>
      </c>
      <c r="M60" s="12" t="s">
        <v>336</v>
      </c>
      <c r="N60" s="12" t="s">
        <v>75</v>
      </c>
      <c r="O60" s="12"/>
      <c r="P60" s="12"/>
      <c r="Q60" s="12"/>
      <c r="R60" s="12"/>
    </row>
    <row r="61" customFormat="false" ht="15" hidden="false" customHeight="false" outlineLevel="0" collapsed="false">
      <c r="A61" s="12" t="s">
        <v>345</v>
      </c>
      <c r="B61" s="12" t="s">
        <v>304</v>
      </c>
      <c r="C61" s="12" t="s">
        <v>346</v>
      </c>
      <c r="D61" s="12" t="s">
        <v>149</v>
      </c>
      <c r="E61" s="12" t="s">
        <v>66</v>
      </c>
      <c r="F61" s="12" t="s">
        <v>150</v>
      </c>
      <c r="G61" s="12" t="s">
        <v>104</v>
      </c>
      <c r="H61" s="12" t="s">
        <v>347</v>
      </c>
      <c r="I61" s="12" t="s">
        <v>348</v>
      </c>
      <c r="J61" s="12" t="s">
        <v>318</v>
      </c>
      <c r="K61" s="12" t="s">
        <v>349</v>
      </c>
      <c r="L61" s="12" t="s">
        <v>350</v>
      </c>
      <c r="M61" s="12" t="s">
        <v>351</v>
      </c>
      <c r="N61" s="12" t="s">
        <v>75</v>
      </c>
      <c r="O61" s="12" t="s">
        <v>352</v>
      </c>
      <c r="P61" s="12"/>
      <c r="Q61" s="12"/>
      <c r="R61" s="12"/>
    </row>
    <row r="62" customFormat="false" ht="15" hidden="false" customHeight="false" outlineLevel="0" collapsed="false">
      <c r="A62" s="12" t="s">
        <v>353</v>
      </c>
      <c r="B62" s="12" t="s">
        <v>354</v>
      </c>
      <c r="C62" s="12" t="s">
        <v>185</v>
      </c>
      <c r="D62" s="12" t="s">
        <v>90</v>
      </c>
      <c r="E62" s="12" t="s">
        <v>91</v>
      </c>
      <c r="F62" s="12" t="s">
        <v>103</v>
      </c>
      <c r="G62" s="12" t="s">
        <v>68</v>
      </c>
      <c r="H62" s="12" t="s">
        <v>355</v>
      </c>
      <c r="I62" s="12" t="s">
        <v>325</v>
      </c>
      <c r="J62" s="12" t="s">
        <v>336</v>
      </c>
      <c r="K62" s="12" t="s">
        <v>356</v>
      </c>
      <c r="L62" s="12" t="s">
        <v>324</v>
      </c>
      <c r="M62" s="12" t="s">
        <v>349</v>
      </c>
      <c r="N62" s="12" t="s">
        <v>357</v>
      </c>
      <c r="O62" s="12"/>
      <c r="P62" s="12"/>
      <c r="Q62" s="12"/>
      <c r="R62" s="12" t="s">
        <v>226</v>
      </c>
    </row>
    <row r="63" customFormat="false" ht="15" hidden="false" customHeight="false" outlineLevel="0" collapsed="false">
      <c r="A63" s="12" t="s">
        <v>358</v>
      </c>
      <c r="B63" s="12" t="s">
        <v>237</v>
      </c>
      <c r="C63" s="12" t="s">
        <v>359</v>
      </c>
      <c r="D63" s="12" t="s">
        <v>207</v>
      </c>
      <c r="E63" s="12" t="s">
        <v>91</v>
      </c>
      <c r="F63" s="12" t="s">
        <v>160</v>
      </c>
      <c r="G63" s="12" t="s">
        <v>104</v>
      </c>
      <c r="H63" s="12" t="s">
        <v>161</v>
      </c>
      <c r="I63" s="12" t="s">
        <v>318</v>
      </c>
      <c r="J63" s="12" t="s">
        <v>238</v>
      </c>
      <c r="K63" s="12" t="s">
        <v>300</v>
      </c>
      <c r="L63" s="12" t="s">
        <v>356</v>
      </c>
      <c r="M63" s="12" t="s">
        <v>309</v>
      </c>
      <c r="N63" s="12" t="s">
        <v>75</v>
      </c>
      <c r="O63" s="12"/>
      <c r="P63" s="12"/>
      <c r="Q63" s="12"/>
      <c r="R63" s="12" t="s">
        <v>134</v>
      </c>
    </row>
    <row r="64" customFormat="false" ht="15" hidden="false" customHeight="false" outlineLevel="0" collapsed="false">
      <c r="A64" s="12" t="s">
        <v>360</v>
      </c>
      <c r="B64" s="12" t="s">
        <v>238</v>
      </c>
      <c r="C64" s="12" t="s">
        <v>361</v>
      </c>
      <c r="D64" s="12" t="s">
        <v>90</v>
      </c>
      <c r="E64" s="12" t="s">
        <v>91</v>
      </c>
      <c r="F64" s="12" t="s">
        <v>203</v>
      </c>
      <c r="G64" s="12" t="s">
        <v>104</v>
      </c>
      <c r="H64" s="12" t="s">
        <v>362</v>
      </c>
      <c r="I64" s="12" t="s">
        <v>333</v>
      </c>
      <c r="J64" s="12" t="s">
        <v>299</v>
      </c>
      <c r="K64" s="12"/>
      <c r="L64" s="12" t="s">
        <v>363</v>
      </c>
      <c r="M64" s="12"/>
      <c r="N64" s="12" t="s">
        <v>188</v>
      </c>
      <c r="O64" s="12"/>
      <c r="P64" s="12"/>
      <c r="Q64" s="12" t="s">
        <v>210</v>
      </c>
      <c r="R64" s="12" t="s">
        <v>98</v>
      </c>
    </row>
    <row r="65" customFormat="false" ht="15" hidden="false" customHeight="false" outlineLevel="0" collapsed="false">
      <c r="A65" s="12" t="s">
        <v>364</v>
      </c>
      <c r="B65" s="12" t="s">
        <v>238</v>
      </c>
      <c r="C65" s="12" t="s">
        <v>302</v>
      </c>
      <c r="D65" s="12" t="s">
        <v>149</v>
      </c>
      <c r="E65" s="12" t="s">
        <v>91</v>
      </c>
      <c r="F65" s="12" t="s">
        <v>160</v>
      </c>
      <c r="G65" s="12" t="s">
        <v>104</v>
      </c>
      <c r="H65" s="12" t="s">
        <v>365</v>
      </c>
      <c r="I65" s="12" t="s">
        <v>333</v>
      </c>
      <c r="J65" s="12" t="s">
        <v>314</v>
      </c>
      <c r="K65" s="12" t="s">
        <v>337</v>
      </c>
      <c r="L65" s="12" t="s">
        <v>363</v>
      </c>
      <c r="M65" s="12"/>
      <c r="N65" s="12" t="s">
        <v>328</v>
      </c>
      <c r="O65" s="12"/>
      <c r="P65" s="12" t="s">
        <v>183</v>
      </c>
      <c r="Q65" s="12"/>
      <c r="R65" s="12" t="s">
        <v>366</v>
      </c>
    </row>
    <row r="66" customFormat="false" ht="15" hidden="false" customHeight="false" outlineLevel="0" collapsed="false">
      <c r="A66" s="12" t="s">
        <v>367</v>
      </c>
      <c r="B66" s="12" t="s">
        <v>238</v>
      </c>
      <c r="C66" s="12" t="s">
        <v>368</v>
      </c>
      <c r="D66" s="12" t="s">
        <v>65</v>
      </c>
      <c r="E66" s="12" t="s">
        <v>91</v>
      </c>
      <c r="F66" s="12" t="s">
        <v>121</v>
      </c>
      <c r="G66" s="12" t="s">
        <v>104</v>
      </c>
      <c r="H66" s="12" t="s">
        <v>369</v>
      </c>
      <c r="I66" s="12" t="s">
        <v>327</v>
      </c>
      <c r="J66" s="12" t="s">
        <v>310</v>
      </c>
      <c r="K66" s="12" t="s">
        <v>370</v>
      </c>
      <c r="L66" s="12" t="s">
        <v>326</v>
      </c>
      <c r="M66" s="12" t="s">
        <v>371</v>
      </c>
      <c r="N66" s="12" t="s">
        <v>75</v>
      </c>
      <c r="O66" s="12" t="s">
        <v>84</v>
      </c>
      <c r="P66" s="12" t="s">
        <v>85</v>
      </c>
      <c r="Q66" s="12"/>
      <c r="R66" s="12" t="s">
        <v>226</v>
      </c>
    </row>
    <row r="67" customFormat="false" ht="15" hidden="false" customHeight="false" outlineLevel="0" collapsed="false">
      <c r="A67" s="12" t="s">
        <v>372</v>
      </c>
      <c r="B67" s="12" t="s">
        <v>309</v>
      </c>
      <c r="C67" s="12" t="s">
        <v>373</v>
      </c>
      <c r="D67" s="12" t="s">
        <v>149</v>
      </c>
      <c r="E67" s="12" t="s">
        <v>102</v>
      </c>
      <c r="F67" s="12" t="s">
        <v>150</v>
      </c>
      <c r="G67" s="12" t="s">
        <v>104</v>
      </c>
      <c r="H67" s="12" t="s">
        <v>374</v>
      </c>
      <c r="I67" s="12" t="s">
        <v>351</v>
      </c>
      <c r="J67" s="12" t="s">
        <v>363</v>
      </c>
      <c r="K67" s="12" t="s">
        <v>348</v>
      </c>
      <c r="L67" s="12" t="s">
        <v>375</v>
      </c>
      <c r="M67" s="12" t="s">
        <v>351</v>
      </c>
      <c r="N67" s="12" t="s">
        <v>75</v>
      </c>
      <c r="O67" s="12"/>
      <c r="P67" s="12"/>
      <c r="Q67" s="12"/>
      <c r="R67" s="12" t="s">
        <v>98</v>
      </c>
    </row>
    <row r="68" customFormat="false" ht="15" hidden="false" customHeight="false" outlineLevel="0" collapsed="false">
      <c r="A68" s="12" t="s">
        <v>376</v>
      </c>
      <c r="B68" s="12" t="s">
        <v>299</v>
      </c>
      <c r="C68" s="12" t="s">
        <v>346</v>
      </c>
      <c r="D68" s="12" t="s">
        <v>65</v>
      </c>
      <c r="E68" s="12" t="s">
        <v>66</v>
      </c>
      <c r="F68" s="12" t="s">
        <v>160</v>
      </c>
      <c r="G68" s="12" t="s">
        <v>68</v>
      </c>
      <c r="H68" s="12" t="s">
        <v>377</v>
      </c>
      <c r="I68" s="12" t="s">
        <v>349</v>
      </c>
      <c r="J68" s="12" t="s">
        <v>337</v>
      </c>
      <c r="K68" s="12" t="s">
        <v>338</v>
      </c>
      <c r="L68" s="12" t="s">
        <v>325</v>
      </c>
      <c r="M68" s="12" t="s">
        <v>378</v>
      </c>
      <c r="N68" s="12" t="s">
        <v>75</v>
      </c>
      <c r="O68" s="12"/>
      <c r="P68" s="12"/>
      <c r="Q68" s="12"/>
      <c r="R68" s="12" t="s">
        <v>134</v>
      </c>
    </row>
    <row r="69" customFormat="false" ht="15" hidden="false" customHeight="false" outlineLevel="0" collapsed="false">
      <c r="A69" s="12" t="s">
        <v>379</v>
      </c>
      <c r="B69" s="12" t="s">
        <v>305</v>
      </c>
      <c r="C69" s="12" t="s">
        <v>380</v>
      </c>
      <c r="D69" s="12" t="s">
        <v>90</v>
      </c>
      <c r="E69" s="12" t="s">
        <v>102</v>
      </c>
      <c r="F69" s="12" t="s">
        <v>213</v>
      </c>
      <c r="G69" s="12" t="s">
        <v>104</v>
      </c>
      <c r="H69" s="12" t="s">
        <v>294</v>
      </c>
      <c r="I69" s="12" t="s">
        <v>381</v>
      </c>
      <c r="J69" s="12" t="s">
        <v>381</v>
      </c>
      <c r="K69" s="12" t="s">
        <v>382</v>
      </c>
      <c r="L69" s="12" t="s">
        <v>324</v>
      </c>
      <c r="M69" s="12" t="s">
        <v>383</v>
      </c>
      <c r="N69" s="12" t="s">
        <v>75</v>
      </c>
      <c r="O69" s="12" t="s">
        <v>110</v>
      </c>
      <c r="P69" s="12" t="s">
        <v>183</v>
      </c>
      <c r="Q69" s="12"/>
      <c r="R69" s="12" t="s">
        <v>134</v>
      </c>
    </row>
    <row r="70" customFormat="false" ht="15" hidden="false" customHeight="false" outlineLevel="0" collapsed="false">
      <c r="A70" s="12" t="s">
        <v>384</v>
      </c>
      <c r="B70" s="12" t="s">
        <v>314</v>
      </c>
      <c r="C70" s="12" t="s">
        <v>385</v>
      </c>
      <c r="D70" s="12" t="s">
        <v>149</v>
      </c>
      <c r="E70" s="12" t="s">
        <v>91</v>
      </c>
      <c r="F70" s="12" t="s">
        <v>160</v>
      </c>
      <c r="G70" s="12" t="s">
        <v>104</v>
      </c>
      <c r="H70" s="12" t="s">
        <v>386</v>
      </c>
      <c r="I70" s="12" t="s">
        <v>349</v>
      </c>
      <c r="J70" s="12" t="s">
        <v>338</v>
      </c>
      <c r="K70" s="12" t="s">
        <v>348</v>
      </c>
      <c r="L70" s="12" t="s">
        <v>325</v>
      </c>
      <c r="M70" s="12" t="s">
        <v>351</v>
      </c>
      <c r="N70" s="12" t="s">
        <v>75</v>
      </c>
      <c r="O70" s="12"/>
      <c r="P70" s="12"/>
      <c r="Q70" s="12"/>
      <c r="R70" s="12"/>
    </row>
    <row r="71" customFormat="false" ht="15" hidden="false" customHeight="false" outlineLevel="0" collapsed="false">
      <c r="A71" s="12" t="s">
        <v>387</v>
      </c>
      <c r="B71" s="12" t="s">
        <v>314</v>
      </c>
      <c r="C71" s="12" t="s">
        <v>388</v>
      </c>
      <c r="D71" s="12" t="s">
        <v>90</v>
      </c>
      <c r="E71" s="12" t="s">
        <v>91</v>
      </c>
      <c r="F71" s="12" t="s">
        <v>67</v>
      </c>
      <c r="G71" s="12" t="s">
        <v>92</v>
      </c>
      <c r="H71" s="12" t="s">
        <v>389</v>
      </c>
      <c r="I71" s="12" t="s">
        <v>324</v>
      </c>
      <c r="J71" s="12" t="s">
        <v>375</v>
      </c>
      <c r="K71" s="12" t="s">
        <v>381</v>
      </c>
      <c r="L71" s="12" t="s">
        <v>327</v>
      </c>
      <c r="M71" s="12" t="s">
        <v>390</v>
      </c>
      <c r="N71" s="12" t="s">
        <v>75</v>
      </c>
      <c r="O71" s="12"/>
      <c r="P71" s="12" t="s">
        <v>183</v>
      </c>
      <c r="Q71" s="12"/>
      <c r="R71" s="12"/>
    </row>
    <row r="72" customFormat="false" ht="15" hidden="false" customHeight="false" outlineLevel="0" collapsed="false">
      <c r="A72" s="12" t="s">
        <v>391</v>
      </c>
      <c r="B72" s="12" t="s">
        <v>337</v>
      </c>
      <c r="C72" s="12" t="s">
        <v>392</v>
      </c>
      <c r="D72" s="12" t="s">
        <v>65</v>
      </c>
      <c r="E72" s="12" t="s">
        <v>91</v>
      </c>
      <c r="F72" s="12" t="s">
        <v>67</v>
      </c>
      <c r="G72" s="12" t="s">
        <v>92</v>
      </c>
      <c r="H72" s="12" t="s">
        <v>393</v>
      </c>
      <c r="I72" s="12" t="s">
        <v>382</v>
      </c>
      <c r="J72" s="12" t="s">
        <v>382</v>
      </c>
      <c r="K72" s="12" t="s">
        <v>394</v>
      </c>
      <c r="L72" s="12" t="s">
        <v>395</v>
      </c>
      <c r="M72" s="12" t="s">
        <v>327</v>
      </c>
      <c r="N72" s="12" t="s">
        <v>75</v>
      </c>
      <c r="O72" s="12" t="s">
        <v>110</v>
      </c>
      <c r="P72" s="12"/>
      <c r="Q72" s="12"/>
      <c r="R72" s="12"/>
    </row>
    <row r="73" customFormat="false" ht="15" hidden="false" customHeight="false" outlineLevel="0" collapsed="false">
      <c r="A73" s="12" t="s">
        <v>396</v>
      </c>
      <c r="B73" s="12" t="s">
        <v>337</v>
      </c>
      <c r="C73" s="12" t="s">
        <v>397</v>
      </c>
      <c r="D73" s="12" t="s">
        <v>90</v>
      </c>
      <c r="E73" s="12" t="s">
        <v>66</v>
      </c>
      <c r="F73" s="12" t="s">
        <v>67</v>
      </c>
      <c r="G73" s="12" t="s">
        <v>68</v>
      </c>
      <c r="H73" s="12" t="s">
        <v>398</v>
      </c>
      <c r="I73" s="12" t="s">
        <v>327</v>
      </c>
      <c r="J73" s="12" t="s">
        <v>381</v>
      </c>
      <c r="K73" s="12" t="s">
        <v>399</v>
      </c>
      <c r="L73" s="12" t="s">
        <v>326</v>
      </c>
      <c r="M73" s="12" t="s">
        <v>400</v>
      </c>
      <c r="N73" s="12" t="s">
        <v>75</v>
      </c>
      <c r="O73" s="12"/>
      <c r="P73" s="12"/>
      <c r="Q73" s="12"/>
      <c r="R73" s="12" t="s">
        <v>226</v>
      </c>
    </row>
    <row r="74" customFormat="false" ht="15" hidden="false" customHeight="false" outlineLevel="0" collapsed="false">
      <c r="A74" s="12" t="s">
        <v>401</v>
      </c>
      <c r="B74" s="12" t="s">
        <v>336</v>
      </c>
      <c r="C74" s="12" t="s">
        <v>144</v>
      </c>
      <c r="D74" s="12" t="s">
        <v>149</v>
      </c>
      <c r="E74" s="12" t="s">
        <v>91</v>
      </c>
      <c r="F74" s="12" t="s">
        <v>160</v>
      </c>
      <c r="G74" s="12" t="s">
        <v>104</v>
      </c>
      <c r="H74" s="12" t="s">
        <v>402</v>
      </c>
      <c r="I74" s="12" t="s">
        <v>375</v>
      </c>
      <c r="J74" s="12" t="s">
        <v>338</v>
      </c>
      <c r="K74" s="12"/>
      <c r="L74" s="12" t="s">
        <v>403</v>
      </c>
      <c r="M74" s="12"/>
      <c r="N74" s="12" t="s">
        <v>188</v>
      </c>
      <c r="O74" s="12"/>
      <c r="P74" s="12"/>
      <c r="Q74" s="12" t="s">
        <v>220</v>
      </c>
      <c r="R74" s="12"/>
    </row>
    <row r="75" customFormat="false" ht="15" hidden="false" customHeight="false" outlineLevel="0" collapsed="false">
      <c r="A75" s="12" t="s">
        <v>404</v>
      </c>
      <c r="B75" s="12" t="s">
        <v>336</v>
      </c>
      <c r="C75" s="12" t="s">
        <v>405</v>
      </c>
      <c r="D75" s="12" t="s">
        <v>149</v>
      </c>
      <c r="E75" s="12" t="s">
        <v>66</v>
      </c>
      <c r="F75" s="12" t="s">
        <v>160</v>
      </c>
      <c r="G75" s="12" t="s">
        <v>104</v>
      </c>
      <c r="H75" s="12" t="s">
        <v>406</v>
      </c>
      <c r="I75" s="12" t="s">
        <v>324</v>
      </c>
      <c r="J75" s="12" t="s">
        <v>350</v>
      </c>
      <c r="K75" s="12" t="s">
        <v>394</v>
      </c>
      <c r="L75" s="12" t="s">
        <v>407</v>
      </c>
      <c r="M75" s="12"/>
      <c r="N75" s="12" t="s">
        <v>408</v>
      </c>
      <c r="O75" s="12"/>
      <c r="P75" s="12" t="s">
        <v>183</v>
      </c>
      <c r="Q75" s="12"/>
      <c r="R75" s="12" t="s">
        <v>366</v>
      </c>
    </row>
    <row r="76" customFormat="false" ht="15" hidden="false" customHeight="false" outlineLevel="0" collapsed="false">
      <c r="A76" s="12" t="s">
        <v>409</v>
      </c>
      <c r="B76" s="12" t="s">
        <v>356</v>
      </c>
      <c r="C76" s="12" t="s">
        <v>410</v>
      </c>
      <c r="D76" s="12" t="s">
        <v>65</v>
      </c>
      <c r="E76" s="12" t="s">
        <v>102</v>
      </c>
      <c r="F76" s="12" t="s">
        <v>67</v>
      </c>
      <c r="G76" s="12" t="s">
        <v>104</v>
      </c>
      <c r="H76" s="12" t="s">
        <v>411</v>
      </c>
      <c r="I76" s="12" t="s">
        <v>412</v>
      </c>
      <c r="J76" s="12" t="s">
        <v>413</v>
      </c>
      <c r="K76" s="12" t="s">
        <v>382</v>
      </c>
      <c r="L76" s="12" t="s">
        <v>414</v>
      </c>
      <c r="M76" s="12" t="s">
        <v>415</v>
      </c>
      <c r="N76" s="12" t="s">
        <v>75</v>
      </c>
      <c r="O76" s="12"/>
      <c r="P76" s="12"/>
      <c r="Q76" s="12"/>
      <c r="R76" s="12" t="s">
        <v>98</v>
      </c>
    </row>
    <row r="77" customFormat="false" ht="15" hidden="false" customHeight="false" outlineLevel="0" collapsed="false">
      <c r="A77" s="12" t="s">
        <v>416</v>
      </c>
      <c r="B77" s="12" t="s">
        <v>341</v>
      </c>
      <c r="C77" s="12" t="s">
        <v>268</v>
      </c>
      <c r="D77" s="12" t="s">
        <v>90</v>
      </c>
      <c r="E77" s="12" t="s">
        <v>91</v>
      </c>
      <c r="F77" s="12" t="s">
        <v>160</v>
      </c>
      <c r="G77" s="12" t="s">
        <v>104</v>
      </c>
      <c r="H77" s="12" t="s">
        <v>417</v>
      </c>
      <c r="I77" s="12" t="s">
        <v>324</v>
      </c>
      <c r="J77" s="12" t="s">
        <v>324</v>
      </c>
      <c r="K77" s="12" t="s">
        <v>382</v>
      </c>
      <c r="L77" s="12" t="s">
        <v>407</v>
      </c>
      <c r="M77" s="12" t="s">
        <v>394</v>
      </c>
      <c r="N77" s="12" t="s">
        <v>75</v>
      </c>
      <c r="O77" s="12"/>
      <c r="P77" s="12"/>
      <c r="Q77" s="12"/>
      <c r="R77" s="12" t="s">
        <v>168</v>
      </c>
    </row>
    <row r="78" customFormat="false" ht="15" hidden="false" customHeight="false" outlineLevel="0" collapsed="false">
      <c r="A78" s="12" t="s">
        <v>418</v>
      </c>
      <c r="B78" s="12" t="s">
        <v>341</v>
      </c>
      <c r="C78" s="12" t="s">
        <v>419</v>
      </c>
      <c r="D78" s="12" t="s">
        <v>90</v>
      </c>
      <c r="E78" s="12" t="s">
        <v>91</v>
      </c>
      <c r="F78" s="12" t="s">
        <v>67</v>
      </c>
      <c r="G78" s="12" t="s">
        <v>68</v>
      </c>
      <c r="H78" s="12" t="s">
        <v>420</v>
      </c>
      <c r="I78" s="12" t="s">
        <v>421</v>
      </c>
      <c r="J78" s="12" t="s">
        <v>421</v>
      </c>
      <c r="K78" s="12" t="s">
        <v>400</v>
      </c>
      <c r="L78" s="12" t="s">
        <v>422</v>
      </c>
      <c r="M78" s="12" t="s">
        <v>422</v>
      </c>
      <c r="N78" s="12" t="s">
        <v>75</v>
      </c>
      <c r="O78" s="12"/>
      <c r="P78" s="12"/>
      <c r="Q78" s="12"/>
      <c r="R78" s="12" t="s">
        <v>168</v>
      </c>
    </row>
    <row r="79" customFormat="false" ht="15" hidden="false" customHeight="false" outlineLevel="0" collapsed="false">
      <c r="A79" s="12" t="s">
        <v>423</v>
      </c>
      <c r="B79" s="12" t="s">
        <v>349</v>
      </c>
      <c r="C79" s="12" t="s">
        <v>424</v>
      </c>
      <c r="D79" s="12" t="s">
        <v>65</v>
      </c>
      <c r="E79" s="12" t="s">
        <v>91</v>
      </c>
      <c r="F79" s="12" t="s">
        <v>67</v>
      </c>
      <c r="G79" s="12" t="s">
        <v>68</v>
      </c>
      <c r="H79" s="12" t="s">
        <v>425</v>
      </c>
      <c r="I79" s="12" t="s">
        <v>326</v>
      </c>
      <c r="J79" s="12" t="s">
        <v>421</v>
      </c>
      <c r="K79" s="12" t="s">
        <v>326</v>
      </c>
      <c r="L79" s="12" t="s">
        <v>426</v>
      </c>
      <c r="M79" s="12" t="s">
        <v>422</v>
      </c>
      <c r="N79" s="12" t="s">
        <v>75</v>
      </c>
      <c r="O79" s="12"/>
      <c r="P79" s="12"/>
      <c r="Q79" s="12"/>
      <c r="R79" s="12" t="s">
        <v>86</v>
      </c>
    </row>
    <row r="80" customFormat="false" ht="15" hidden="false" customHeight="false" outlineLevel="0" collapsed="false">
      <c r="A80" s="12" t="s">
        <v>427</v>
      </c>
      <c r="B80" s="12" t="s">
        <v>351</v>
      </c>
      <c r="C80" s="12" t="s">
        <v>428</v>
      </c>
      <c r="D80" s="12" t="s">
        <v>149</v>
      </c>
      <c r="E80" s="12" t="s">
        <v>91</v>
      </c>
      <c r="F80" s="12" t="s">
        <v>150</v>
      </c>
      <c r="G80" s="12" t="s">
        <v>104</v>
      </c>
      <c r="H80" s="12" t="s">
        <v>429</v>
      </c>
      <c r="I80" s="12" t="s">
        <v>412</v>
      </c>
      <c r="J80" s="12" t="s">
        <v>324</v>
      </c>
      <c r="K80" s="12" t="s">
        <v>382</v>
      </c>
      <c r="L80" s="12" t="s">
        <v>326</v>
      </c>
      <c r="M80" s="12" t="s">
        <v>399</v>
      </c>
      <c r="N80" s="12" t="s">
        <v>75</v>
      </c>
      <c r="O80" s="12"/>
      <c r="P80" s="12"/>
      <c r="Q80" s="12"/>
      <c r="R80" s="12" t="s">
        <v>86</v>
      </c>
    </row>
    <row r="81" customFormat="false" ht="15" hidden="false" customHeight="false" outlineLevel="0" collapsed="false">
      <c r="A81" s="12" t="s">
        <v>430</v>
      </c>
      <c r="B81" s="12" t="s">
        <v>351</v>
      </c>
      <c r="C81" s="12" t="s">
        <v>312</v>
      </c>
      <c r="D81" s="12" t="s">
        <v>149</v>
      </c>
      <c r="E81" s="12" t="s">
        <v>91</v>
      </c>
      <c r="F81" s="12" t="s">
        <v>213</v>
      </c>
      <c r="G81" s="12" t="s">
        <v>104</v>
      </c>
      <c r="H81" s="12"/>
      <c r="I81" s="12" t="s">
        <v>412</v>
      </c>
      <c r="J81" s="12" t="s">
        <v>394</v>
      </c>
      <c r="K81" s="12" t="s">
        <v>399</v>
      </c>
      <c r="L81" s="12" t="s">
        <v>326</v>
      </c>
      <c r="M81" s="12" t="s">
        <v>395</v>
      </c>
      <c r="N81" s="12" t="s">
        <v>75</v>
      </c>
      <c r="O81" s="12"/>
      <c r="P81" s="12"/>
      <c r="Q81" s="12"/>
      <c r="R81" s="12"/>
    </row>
    <row r="82" customFormat="false" ht="15" hidden="false" customHeight="false" outlineLevel="0" collapsed="false">
      <c r="A82" s="12" t="s">
        <v>431</v>
      </c>
      <c r="B82" s="12" t="s">
        <v>413</v>
      </c>
      <c r="C82" s="12" t="s">
        <v>432</v>
      </c>
      <c r="D82" s="12" t="s">
        <v>90</v>
      </c>
      <c r="E82" s="12" t="s">
        <v>66</v>
      </c>
      <c r="F82" s="12" t="s">
        <v>67</v>
      </c>
      <c r="G82" s="12" t="s">
        <v>68</v>
      </c>
      <c r="H82" s="12" t="s">
        <v>433</v>
      </c>
      <c r="I82" s="12" t="s">
        <v>434</v>
      </c>
      <c r="J82" s="12" t="s">
        <v>435</v>
      </c>
      <c r="K82" s="12" t="s">
        <v>436</v>
      </c>
      <c r="L82" s="12" t="s">
        <v>437</v>
      </c>
      <c r="M82" s="12"/>
      <c r="N82" s="12" t="s">
        <v>438</v>
      </c>
      <c r="O82" s="12" t="s">
        <v>329</v>
      </c>
      <c r="P82" s="12" t="s">
        <v>183</v>
      </c>
      <c r="Q82" s="12"/>
      <c r="R82" s="12" t="s">
        <v>366</v>
      </c>
    </row>
    <row r="83" customFormat="false" ht="15" hidden="false" customHeight="false" outlineLevel="0" collapsed="false">
      <c r="A83" s="12" t="s">
        <v>439</v>
      </c>
      <c r="B83" s="12" t="s">
        <v>413</v>
      </c>
      <c r="C83" s="12" t="s">
        <v>440</v>
      </c>
      <c r="D83" s="12" t="s">
        <v>90</v>
      </c>
      <c r="E83" s="12" t="s">
        <v>91</v>
      </c>
      <c r="F83" s="12" t="s">
        <v>67</v>
      </c>
      <c r="G83" s="12" t="s">
        <v>114</v>
      </c>
      <c r="H83" s="12" t="s">
        <v>441</v>
      </c>
      <c r="I83" s="12" t="s">
        <v>435</v>
      </c>
      <c r="J83" s="12" t="s">
        <v>442</v>
      </c>
      <c r="K83" s="12" t="s">
        <v>443</v>
      </c>
      <c r="L83" s="12" t="s">
        <v>443</v>
      </c>
      <c r="M83" s="12" t="s">
        <v>444</v>
      </c>
      <c r="N83" s="12" t="s">
        <v>75</v>
      </c>
      <c r="O83" s="12" t="s">
        <v>110</v>
      </c>
      <c r="P83" s="12" t="s">
        <v>85</v>
      </c>
      <c r="Q83" s="12"/>
      <c r="R83" s="12"/>
    </row>
    <row r="84" customFormat="false" ht="15" hidden="false" customHeight="false" outlineLevel="0" collapsed="false">
      <c r="A84" s="12" t="s">
        <v>445</v>
      </c>
      <c r="B84" s="12" t="s">
        <v>413</v>
      </c>
      <c r="C84" s="12" t="s">
        <v>242</v>
      </c>
      <c r="D84" s="12" t="s">
        <v>90</v>
      </c>
      <c r="E84" s="12" t="s">
        <v>102</v>
      </c>
      <c r="F84" s="12" t="s">
        <v>67</v>
      </c>
      <c r="G84" s="12" t="s">
        <v>104</v>
      </c>
      <c r="H84" s="12" t="s">
        <v>446</v>
      </c>
      <c r="I84" s="12" t="s">
        <v>447</v>
      </c>
      <c r="J84" s="12" t="s">
        <v>437</v>
      </c>
      <c r="K84" s="12" t="s">
        <v>448</v>
      </c>
      <c r="L84" s="12" t="s">
        <v>449</v>
      </c>
      <c r="M84" s="12" t="s">
        <v>450</v>
      </c>
      <c r="N84" s="12" t="s">
        <v>75</v>
      </c>
      <c r="O84" s="12" t="s">
        <v>110</v>
      </c>
      <c r="P84" s="12"/>
      <c r="Q84" s="12"/>
      <c r="R84" s="12" t="s">
        <v>134</v>
      </c>
    </row>
    <row r="85" customFormat="false" ht="15" hidden="false" customHeight="false" outlineLevel="0" collapsed="false">
      <c r="A85" s="12" t="s">
        <v>451</v>
      </c>
      <c r="B85" s="12" t="s">
        <v>324</v>
      </c>
      <c r="C85" s="12" t="s">
        <v>170</v>
      </c>
      <c r="D85" s="12" t="s">
        <v>90</v>
      </c>
      <c r="E85" s="12" t="s">
        <v>91</v>
      </c>
      <c r="F85" s="12" t="s">
        <v>121</v>
      </c>
      <c r="G85" s="12" t="s">
        <v>104</v>
      </c>
      <c r="H85" s="12" t="s">
        <v>452</v>
      </c>
      <c r="I85" s="12" t="s">
        <v>453</v>
      </c>
      <c r="J85" s="12" t="s">
        <v>454</v>
      </c>
      <c r="K85" s="12" t="s">
        <v>390</v>
      </c>
      <c r="L85" s="12" t="s">
        <v>455</v>
      </c>
      <c r="M85" s="12" t="s">
        <v>456</v>
      </c>
      <c r="N85" s="12" t="s">
        <v>75</v>
      </c>
      <c r="O85" s="12" t="s">
        <v>84</v>
      </c>
      <c r="P85" s="12" t="s">
        <v>85</v>
      </c>
      <c r="Q85" s="12"/>
      <c r="R85" s="12" t="s">
        <v>86</v>
      </c>
    </row>
    <row r="86" customFormat="false" ht="15" hidden="false" customHeight="false" outlineLevel="0" collapsed="false">
      <c r="A86" s="12" t="s">
        <v>451</v>
      </c>
      <c r="B86" s="12" t="s">
        <v>324</v>
      </c>
      <c r="C86" s="12" t="s">
        <v>170</v>
      </c>
      <c r="D86" s="12" t="s">
        <v>90</v>
      </c>
      <c r="E86" s="12" t="s">
        <v>91</v>
      </c>
      <c r="F86" s="12" t="s">
        <v>121</v>
      </c>
      <c r="G86" s="12" t="s">
        <v>104</v>
      </c>
      <c r="H86" s="12" t="s">
        <v>452</v>
      </c>
      <c r="I86" s="12" t="s">
        <v>453</v>
      </c>
      <c r="J86" s="12" t="s">
        <v>454</v>
      </c>
      <c r="K86" s="12" t="s">
        <v>390</v>
      </c>
      <c r="L86" s="12" t="s">
        <v>455</v>
      </c>
      <c r="M86" s="12" t="s">
        <v>456</v>
      </c>
      <c r="N86" s="12" t="s">
        <v>75</v>
      </c>
      <c r="O86" s="12" t="s">
        <v>84</v>
      </c>
      <c r="P86" s="12" t="s">
        <v>85</v>
      </c>
      <c r="Q86" s="12"/>
      <c r="R86" s="12" t="s">
        <v>86</v>
      </c>
    </row>
    <row r="87" customFormat="false" ht="15" hidden="false" customHeight="false" outlineLevel="0" collapsed="false">
      <c r="A87" s="12" t="s">
        <v>457</v>
      </c>
      <c r="B87" s="12" t="s">
        <v>382</v>
      </c>
      <c r="C87" s="12" t="s">
        <v>148</v>
      </c>
      <c r="D87" s="12" t="s">
        <v>90</v>
      </c>
      <c r="E87" s="12" t="s">
        <v>102</v>
      </c>
      <c r="F87" s="12" t="s">
        <v>160</v>
      </c>
      <c r="G87" s="12" t="s">
        <v>104</v>
      </c>
      <c r="H87" s="12" t="s">
        <v>458</v>
      </c>
      <c r="I87" s="12" t="s">
        <v>422</v>
      </c>
      <c r="J87" s="12" t="s">
        <v>326</v>
      </c>
      <c r="K87" s="12" t="s">
        <v>422</v>
      </c>
      <c r="L87" s="12" t="s">
        <v>435</v>
      </c>
      <c r="M87" s="12" t="s">
        <v>434</v>
      </c>
      <c r="N87" s="12" t="s">
        <v>75</v>
      </c>
      <c r="O87" s="12"/>
      <c r="P87" s="12" t="s">
        <v>183</v>
      </c>
      <c r="Q87" s="12"/>
      <c r="R87" s="12" t="s">
        <v>86</v>
      </c>
    </row>
    <row r="88" customFormat="false" ht="15" hidden="false" customHeight="false" outlineLevel="0" collapsed="false">
      <c r="A88" s="12" t="s">
        <v>459</v>
      </c>
      <c r="B88" s="12" t="s">
        <v>394</v>
      </c>
      <c r="C88" s="12" t="s">
        <v>144</v>
      </c>
      <c r="D88" s="12" t="s">
        <v>90</v>
      </c>
      <c r="E88" s="12" t="s">
        <v>91</v>
      </c>
      <c r="F88" s="12" t="s">
        <v>103</v>
      </c>
      <c r="G88" s="12" t="s">
        <v>68</v>
      </c>
      <c r="H88" s="12" t="s">
        <v>460</v>
      </c>
      <c r="I88" s="12" t="s">
        <v>449</v>
      </c>
      <c r="J88" s="12" t="s">
        <v>434</v>
      </c>
      <c r="K88" s="12" t="s">
        <v>443</v>
      </c>
      <c r="L88" s="12" t="s">
        <v>436</v>
      </c>
      <c r="M88" s="12" t="s">
        <v>461</v>
      </c>
      <c r="N88" s="12" t="s">
        <v>75</v>
      </c>
      <c r="O88" s="12"/>
      <c r="P88" s="12"/>
      <c r="Q88" s="12"/>
      <c r="R88" s="12"/>
    </row>
    <row r="89" customFormat="false" ht="15" hidden="false" customHeight="false" outlineLevel="0" collapsed="false">
      <c r="A89" s="12" t="s">
        <v>462</v>
      </c>
      <c r="B89" s="12" t="s">
        <v>394</v>
      </c>
      <c r="C89" s="12" t="s">
        <v>463</v>
      </c>
      <c r="D89" s="12" t="s">
        <v>149</v>
      </c>
      <c r="E89" s="12" t="s">
        <v>91</v>
      </c>
      <c r="F89" s="12" t="s">
        <v>150</v>
      </c>
      <c r="G89" s="12" t="s">
        <v>104</v>
      </c>
      <c r="H89" s="12" t="s">
        <v>464</v>
      </c>
      <c r="I89" s="12" t="s">
        <v>435</v>
      </c>
      <c r="J89" s="12" t="s">
        <v>465</v>
      </c>
      <c r="K89" s="12" t="s">
        <v>447</v>
      </c>
      <c r="L89" s="12" t="s">
        <v>442</v>
      </c>
      <c r="M89" s="12" t="s">
        <v>442</v>
      </c>
      <c r="N89" s="12" t="s">
        <v>75</v>
      </c>
      <c r="O89" s="12"/>
      <c r="P89" s="12"/>
      <c r="Q89" s="12"/>
      <c r="R89" s="12" t="s">
        <v>134</v>
      </c>
    </row>
    <row r="90" customFormat="false" ht="15" hidden="false" customHeight="false" outlineLevel="0" collapsed="false">
      <c r="A90" s="12" t="s">
        <v>466</v>
      </c>
      <c r="B90" s="12" t="s">
        <v>399</v>
      </c>
      <c r="C90" s="12" t="s">
        <v>467</v>
      </c>
      <c r="D90" s="12" t="s">
        <v>90</v>
      </c>
      <c r="E90" s="12" t="s">
        <v>66</v>
      </c>
      <c r="F90" s="12" t="s">
        <v>150</v>
      </c>
      <c r="G90" s="12" t="s">
        <v>104</v>
      </c>
      <c r="H90" s="12" t="s">
        <v>468</v>
      </c>
      <c r="I90" s="12" t="s">
        <v>469</v>
      </c>
      <c r="J90" s="12" t="s">
        <v>395</v>
      </c>
      <c r="K90" s="12" t="s">
        <v>435</v>
      </c>
      <c r="L90" s="12" t="s">
        <v>437</v>
      </c>
      <c r="M90" s="12" t="s">
        <v>447</v>
      </c>
      <c r="N90" s="12" t="s">
        <v>75</v>
      </c>
      <c r="O90" s="12"/>
      <c r="P90" s="12"/>
      <c r="Q90" s="12"/>
      <c r="R90" s="12" t="s">
        <v>168</v>
      </c>
    </row>
    <row r="91" customFormat="false" ht="15" hidden="false" customHeight="false" outlineLevel="0" collapsed="false">
      <c r="A91" s="12" t="s">
        <v>470</v>
      </c>
      <c r="B91" s="12" t="s">
        <v>471</v>
      </c>
      <c r="C91" s="12" t="s">
        <v>472</v>
      </c>
      <c r="D91" s="12" t="s">
        <v>149</v>
      </c>
      <c r="E91" s="12" t="s">
        <v>91</v>
      </c>
      <c r="F91" s="12" t="s">
        <v>160</v>
      </c>
      <c r="G91" s="12" t="s">
        <v>104</v>
      </c>
      <c r="H91" s="12" t="s">
        <v>344</v>
      </c>
      <c r="I91" s="12" t="s">
        <v>426</v>
      </c>
      <c r="J91" s="12" t="s">
        <v>326</v>
      </c>
      <c r="K91" s="12" t="s">
        <v>415</v>
      </c>
      <c r="L91" s="12" t="s">
        <v>447</v>
      </c>
      <c r="M91" s="12" t="s">
        <v>443</v>
      </c>
      <c r="N91" s="12" t="s">
        <v>75</v>
      </c>
      <c r="O91" s="12"/>
      <c r="P91" s="12" t="s">
        <v>183</v>
      </c>
      <c r="Q91" s="12"/>
      <c r="R91" s="12"/>
    </row>
    <row r="92" customFormat="false" ht="15" hidden="false" customHeight="false" outlineLevel="0" collapsed="false">
      <c r="A92" s="12" t="s">
        <v>473</v>
      </c>
      <c r="B92" s="12" t="s">
        <v>327</v>
      </c>
      <c r="C92" s="12" t="s">
        <v>474</v>
      </c>
      <c r="D92" s="12" t="s">
        <v>90</v>
      </c>
      <c r="E92" s="12" t="s">
        <v>91</v>
      </c>
      <c r="F92" s="12" t="s">
        <v>67</v>
      </c>
      <c r="G92" s="12" t="s">
        <v>68</v>
      </c>
      <c r="H92" s="12" t="s">
        <v>475</v>
      </c>
      <c r="I92" s="12" t="s">
        <v>449</v>
      </c>
      <c r="J92" s="12" t="s">
        <v>422</v>
      </c>
      <c r="K92" s="12" t="s">
        <v>426</v>
      </c>
      <c r="L92" s="12" t="s">
        <v>436</v>
      </c>
      <c r="M92" s="12"/>
      <c r="N92" s="12" t="s">
        <v>328</v>
      </c>
      <c r="O92" s="12"/>
      <c r="P92" s="12"/>
      <c r="Q92" s="12"/>
      <c r="R92" s="12" t="s">
        <v>86</v>
      </c>
    </row>
    <row r="93" customFormat="false" ht="15" hidden="false" customHeight="false" outlineLevel="0" collapsed="false">
      <c r="A93" s="12" t="s">
        <v>476</v>
      </c>
      <c r="B93" s="12" t="s">
        <v>471</v>
      </c>
      <c r="C93" s="12" t="s">
        <v>477</v>
      </c>
      <c r="D93" s="12" t="s">
        <v>90</v>
      </c>
      <c r="E93" s="12" t="s">
        <v>91</v>
      </c>
      <c r="F93" s="12" t="s">
        <v>160</v>
      </c>
      <c r="G93" s="12" t="s">
        <v>68</v>
      </c>
      <c r="H93" s="12" t="s">
        <v>478</v>
      </c>
      <c r="I93" s="12" t="s">
        <v>426</v>
      </c>
      <c r="J93" s="12" t="s">
        <v>400</v>
      </c>
      <c r="K93" s="12" t="s">
        <v>415</v>
      </c>
      <c r="L93" s="12" t="s">
        <v>447</v>
      </c>
      <c r="M93" s="12" t="s">
        <v>449</v>
      </c>
      <c r="N93" s="12" t="s">
        <v>75</v>
      </c>
      <c r="O93" s="12"/>
      <c r="P93" s="12" t="s">
        <v>183</v>
      </c>
      <c r="Q93" s="12"/>
      <c r="R93" s="12" t="s">
        <v>98</v>
      </c>
    </row>
    <row r="94" customFormat="false" ht="15" hidden="false" customHeight="false" outlineLevel="0" collapsed="false">
      <c r="A94" s="12" t="s">
        <v>479</v>
      </c>
      <c r="B94" s="12" t="s">
        <v>327</v>
      </c>
      <c r="C94" s="12" t="s">
        <v>467</v>
      </c>
      <c r="D94" s="12" t="s">
        <v>90</v>
      </c>
      <c r="E94" s="12" t="s">
        <v>91</v>
      </c>
      <c r="F94" s="12" t="s">
        <v>67</v>
      </c>
      <c r="G94" s="12" t="s">
        <v>114</v>
      </c>
      <c r="H94" s="12" t="s">
        <v>480</v>
      </c>
      <c r="I94" s="12" t="s">
        <v>449</v>
      </c>
      <c r="J94" s="12" t="s">
        <v>422</v>
      </c>
      <c r="K94" s="12" t="s">
        <v>426</v>
      </c>
      <c r="L94" s="12" t="s">
        <v>436</v>
      </c>
      <c r="M94" s="12" t="s">
        <v>444</v>
      </c>
      <c r="N94" s="12" t="s">
        <v>75</v>
      </c>
      <c r="O94" s="12"/>
      <c r="P94" s="12"/>
      <c r="Q94" s="12"/>
      <c r="R94" s="12"/>
    </row>
    <row r="95" customFormat="false" ht="15" hidden="false" customHeight="false" outlineLevel="0" collapsed="false">
      <c r="A95" s="12" t="s">
        <v>481</v>
      </c>
      <c r="B95" s="12" t="s">
        <v>327</v>
      </c>
      <c r="C95" s="12" t="s">
        <v>482</v>
      </c>
      <c r="D95" s="12" t="s">
        <v>90</v>
      </c>
      <c r="E95" s="12" t="s">
        <v>91</v>
      </c>
      <c r="F95" s="12" t="s">
        <v>103</v>
      </c>
      <c r="G95" s="12" t="s">
        <v>104</v>
      </c>
      <c r="H95" s="12" t="s">
        <v>483</v>
      </c>
      <c r="I95" s="12" t="s">
        <v>484</v>
      </c>
      <c r="J95" s="12" t="s">
        <v>444</v>
      </c>
      <c r="K95" s="12" t="s">
        <v>484</v>
      </c>
      <c r="L95" s="12" t="s">
        <v>485</v>
      </c>
      <c r="M95" s="12" t="s">
        <v>448</v>
      </c>
      <c r="N95" s="12" t="s">
        <v>75</v>
      </c>
      <c r="O95" s="12"/>
      <c r="P95" s="12"/>
      <c r="Q95" s="12"/>
      <c r="R95" s="12" t="s">
        <v>98</v>
      </c>
    </row>
    <row r="96" customFormat="false" ht="15" hidden="false" customHeight="false" outlineLevel="0" collapsed="false">
      <c r="A96" s="12" t="s">
        <v>486</v>
      </c>
      <c r="B96" s="12" t="s">
        <v>400</v>
      </c>
      <c r="C96" s="12" t="s">
        <v>361</v>
      </c>
      <c r="D96" s="12" t="s">
        <v>65</v>
      </c>
      <c r="E96" s="12" t="s">
        <v>91</v>
      </c>
      <c r="F96" s="12" t="s">
        <v>67</v>
      </c>
      <c r="G96" s="12" t="s">
        <v>68</v>
      </c>
      <c r="H96" s="12" t="s">
        <v>487</v>
      </c>
      <c r="I96" s="12" t="s">
        <v>488</v>
      </c>
      <c r="J96" s="12" t="s">
        <v>443</v>
      </c>
      <c r="K96" s="12" t="s">
        <v>449</v>
      </c>
      <c r="L96" s="12" t="s">
        <v>489</v>
      </c>
      <c r="M96" s="12" t="s">
        <v>488</v>
      </c>
      <c r="N96" s="12" t="s">
        <v>75</v>
      </c>
      <c r="O96" s="12"/>
      <c r="P96" s="12"/>
      <c r="Q96" s="12"/>
      <c r="R96" s="12" t="s">
        <v>226</v>
      </c>
    </row>
    <row r="97" customFormat="false" ht="15" hidden="false" customHeight="false" outlineLevel="0" collapsed="false">
      <c r="A97" s="12" t="s">
        <v>490</v>
      </c>
      <c r="B97" s="12" t="s">
        <v>415</v>
      </c>
      <c r="C97" s="12" t="s">
        <v>491</v>
      </c>
      <c r="D97" s="12" t="s">
        <v>90</v>
      </c>
      <c r="E97" s="12" t="s">
        <v>91</v>
      </c>
      <c r="F97" s="12" t="s">
        <v>67</v>
      </c>
      <c r="G97" s="12" t="s">
        <v>104</v>
      </c>
      <c r="H97" s="12" t="s">
        <v>492</v>
      </c>
      <c r="I97" s="12" t="s">
        <v>448</v>
      </c>
      <c r="J97" s="12" t="s">
        <v>493</v>
      </c>
      <c r="K97" s="12" t="s">
        <v>494</v>
      </c>
      <c r="L97" s="12" t="s">
        <v>495</v>
      </c>
      <c r="M97" s="12" t="s">
        <v>496</v>
      </c>
      <c r="N97" s="12" t="s">
        <v>75</v>
      </c>
      <c r="O97" s="12" t="s">
        <v>84</v>
      </c>
      <c r="P97" s="12" t="s">
        <v>85</v>
      </c>
      <c r="Q97" s="12"/>
      <c r="R97" s="12" t="s">
        <v>98</v>
      </c>
    </row>
    <row r="98" customFormat="false" ht="15" hidden="false" customHeight="false" outlineLevel="0" collapsed="false">
      <c r="A98" s="12" t="s">
        <v>497</v>
      </c>
      <c r="B98" s="12" t="s">
        <v>415</v>
      </c>
      <c r="C98" s="12" t="s">
        <v>498</v>
      </c>
      <c r="D98" s="12" t="s">
        <v>90</v>
      </c>
      <c r="E98" s="12" t="s">
        <v>66</v>
      </c>
      <c r="F98" s="12" t="s">
        <v>499</v>
      </c>
      <c r="G98" s="12" t="s">
        <v>104</v>
      </c>
      <c r="H98" s="12" t="s">
        <v>500</v>
      </c>
      <c r="I98" s="12" t="s">
        <v>450</v>
      </c>
      <c r="J98" s="12" t="s">
        <v>434</v>
      </c>
      <c r="K98" s="12" t="s">
        <v>448</v>
      </c>
      <c r="L98" s="12" t="s">
        <v>390</v>
      </c>
      <c r="M98" s="12" t="s">
        <v>501</v>
      </c>
      <c r="N98" s="12" t="s">
        <v>75</v>
      </c>
      <c r="O98" s="12"/>
      <c r="P98" s="12"/>
      <c r="Q98" s="12"/>
      <c r="R98" s="12" t="s">
        <v>86</v>
      </c>
    </row>
    <row r="99" customFormat="false" ht="15" hidden="false" customHeight="false" outlineLevel="0" collapsed="false">
      <c r="A99" s="12" t="s">
        <v>502</v>
      </c>
      <c r="B99" s="12" t="s">
        <v>415</v>
      </c>
      <c r="C99" s="12" t="s">
        <v>359</v>
      </c>
      <c r="D99" s="12" t="s">
        <v>90</v>
      </c>
      <c r="E99" s="12" t="s">
        <v>102</v>
      </c>
      <c r="F99" s="12" t="s">
        <v>499</v>
      </c>
      <c r="G99" s="12" t="s">
        <v>104</v>
      </c>
      <c r="H99" s="12" t="s">
        <v>503</v>
      </c>
      <c r="I99" s="12" t="s">
        <v>485</v>
      </c>
      <c r="J99" s="12"/>
      <c r="K99" s="12"/>
      <c r="L99" s="12" t="s">
        <v>461</v>
      </c>
      <c r="M99" s="12"/>
      <c r="N99" s="12" t="s">
        <v>188</v>
      </c>
      <c r="O99" s="12"/>
      <c r="P99" s="12"/>
      <c r="Q99" s="12" t="s">
        <v>210</v>
      </c>
      <c r="R99" s="12" t="s">
        <v>98</v>
      </c>
    </row>
    <row r="100" customFormat="false" ht="15" hidden="false" customHeight="false" outlineLevel="0" collapsed="false">
      <c r="A100" s="12" t="s">
        <v>504</v>
      </c>
      <c r="B100" s="12" t="s">
        <v>505</v>
      </c>
      <c r="C100" s="12" t="s">
        <v>385</v>
      </c>
      <c r="D100" s="12" t="s">
        <v>149</v>
      </c>
      <c r="E100" s="12" t="s">
        <v>102</v>
      </c>
      <c r="F100" s="12" t="s">
        <v>150</v>
      </c>
      <c r="G100" s="12" t="s">
        <v>104</v>
      </c>
      <c r="H100" s="12" t="s">
        <v>506</v>
      </c>
      <c r="I100" s="12" t="s">
        <v>453</v>
      </c>
      <c r="J100" s="12" t="s">
        <v>442</v>
      </c>
      <c r="K100" s="12" t="s">
        <v>449</v>
      </c>
      <c r="L100" s="12" t="s">
        <v>450</v>
      </c>
      <c r="M100" s="12" t="s">
        <v>484</v>
      </c>
      <c r="N100" s="12" t="s">
        <v>75</v>
      </c>
      <c r="O100" s="12"/>
      <c r="P100" s="12"/>
      <c r="Q100" s="12"/>
      <c r="R100" s="12" t="s">
        <v>134</v>
      </c>
    </row>
    <row r="101" customFormat="false" ht="15" hidden="false" customHeight="false" outlineLevel="0" collapsed="false">
      <c r="A101" s="12" t="s">
        <v>507</v>
      </c>
      <c r="B101" s="12" t="s">
        <v>383</v>
      </c>
      <c r="C101" s="12" t="s">
        <v>346</v>
      </c>
      <c r="D101" s="12" t="s">
        <v>65</v>
      </c>
      <c r="E101" s="12" t="s">
        <v>102</v>
      </c>
      <c r="F101" s="12" t="s">
        <v>121</v>
      </c>
      <c r="G101" s="12" t="s">
        <v>104</v>
      </c>
      <c r="H101" s="12" t="s">
        <v>508</v>
      </c>
      <c r="I101" s="12" t="s">
        <v>509</v>
      </c>
      <c r="J101" s="12" t="s">
        <v>510</v>
      </c>
      <c r="K101" s="12" t="s">
        <v>511</v>
      </c>
      <c r="L101" s="12" t="s">
        <v>512</v>
      </c>
      <c r="M101" s="12" t="s">
        <v>512</v>
      </c>
      <c r="N101" s="12" t="s">
        <v>75</v>
      </c>
      <c r="O101" s="12" t="s">
        <v>110</v>
      </c>
      <c r="P101" s="12"/>
      <c r="Q101" s="12"/>
      <c r="R101" s="12" t="s">
        <v>226</v>
      </c>
    </row>
    <row r="102" customFormat="false" ht="15" hidden="false" customHeight="false" outlineLevel="0" collapsed="false">
      <c r="A102" s="12" t="s">
        <v>513</v>
      </c>
      <c r="B102" s="12" t="s">
        <v>447</v>
      </c>
      <c r="C102" s="12" t="s">
        <v>514</v>
      </c>
      <c r="D102" s="12" t="s">
        <v>65</v>
      </c>
      <c r="E102" s="12" t="s">
        <v>102</v>
      </c>
      <c r="F102" s="12" t="s">
        <v>121</v>
      </c>
      <c r="G102" s="12" t="s">
        <v>68</v>
      </c>
      <c r="H102" s="12" t="s">
        <v>515</v>
      </c>
      <c r="I102" s="12" t="s">
        <v>516</v>
      </c>
      <c r="J102" s="12" t="s">
        <v>517</v>
      </c>
      <c r="K102" s="12" t="s">
        <v>518</v>
      </c>
      <c r="L102" s="12" t="s">
        <v>519</v>
      </c>
      <c r="M102" s="12"/>
      <c r="N102" s="12" t="s">
        <v>328</v>
      </c>
      <c r="O102" s="12" t="s">
        <v>84</v>
      </c>
      <c r="P102" s="12" t="s">
        <v>183</v>
      </c>
      <c r="Q102" s="12"/>
      <c r="R102" s="12" t="s">
        <v>366</v>
      </c>
    </row>
    <row r="103" customFormat="false" ht="15" hidden="false" customHeight="false" outlineLevel="0" collapsed="false">
      <c r="A103" s="12" t="s">
        <v>520</v>
      </c>
      <c r="B103" s="12" t="s">
        <v>442</v>
      </c>
      <c r="C103" s="12" t="s">
        <v>498</v>
      </c>
      <c r="D103" s="12" t="s">
        <v>65</v>
      </c>
      <c r="E103" s="12" t="s">
        <v>91</v>
      </c>
      <c r="F103" s="12" t="s">
        <v>121</v>
      </c>
      <c r="G103" s="12" t="s">
        <v>104</v>
      </c>
      <c r="H103" s="12" t="s">
        <v>521</v>
      </c>
      <c r="I103" s="12" t="s">
        <v>522</v>
      </c>
      <c r="J103" s="12" t="s">
        <v>390</v>
      </c>
      <c r="K103" s="12" t="s">
        <v>493</v>
      </c>
      <c r="L103" s="12" t="s">
        <v>523</v>
      </c>
      <c r="M103" s="12" t="s">
        <v>496</v>
      </c>
      <c r="N103" s="12" t="s">
        <v>75</v>
      </c>
      <c r="O103" s="12"/>
      <c r="P103" s="12"/>
      <c r="Q103" s="12"/>
      <c r="R103" s="12" t="s">
        <v>226</v>
      </c>
    </row>
    <row r="104" customFormat="false" ht="15" hidden="false" customHeight="false" outlineLevel="0" collapsed="false">
      <c r="A104" s="12" t="s">
        <v>524</v>
      </c>
      <c r="B104" s="12" t="s">
        <v>434</v>
      </c>
      <c r="C104" s="12" t="s">
        <v>525</v>
      </c>
      <c r="D104" s="12" t="s">
        <v>149</v>
      </c>
      <c r="E104" s="12" t="s">
        <v>91</v>
      </c>
      <c r="F104" s="12" t="s">
        <v>160</v>
      </c>
      <c r="G104" s="12" t="s">
        <v>104</v>
      </c>
      <c r="H104" s="12" t="s">
        <v>526</v>
      </c>
      <c r="I104" s="12" t="s">
        <v>453</v>
      </c>
      <c r="J104" s="12" t="s">
        <v>443</v>
      </c>
      <c r="K104" s="12" t="s">
        <v>449</v>
      </c>
      <c r="L104" s="12" t="s">
        <v>450</v>
      </c>
      <c r="M104" s="12" t="s">
        <v>437</v>
      </c>
      <c r="N104" s="12" t="s">
        <v>357</v>
      </c>
      <c r="O104" s="12"/>
      <c r="P104" s="12"/>
      <c r="Q104" s="12"/>
      <c r="R104" s="12" t="s">
        <v>226</v>
      </c>
    </row>
    <row r="105" customFormat="false" ht="15" hidden="false" customHeight="false" outlineLevel="0" collapsed="false">
      <c r="A105" s="12" t="s">
        <v>527</v>
      </c>
      <c r="B105" s="12" t="s">
        <v>434</v>
      </c>
      <c r="C105" s="12" t="s">
        <v>302</v>
      </c>
      <c r="D105" s="12" t="s">
        <v>90</v>
      </c>
      <c r="E105" s="12" t="s">
        <v>102</v>
      </c>
      <c r="F105" s="12" t="s">
        <v>160</v>
      </c>
      <c r="G105" s="12" t="s">
        <v>104</v>
      </c>
      <c r="H105" s="12" t="s">
        <v>528</v>
      </c>
      <c r="I105" s="12" t="s">
        <v>489</v>
      </c>
      <c r="J105" s="12" t="s">
        <v>437</v>
      </c>
      <c r="K105" s="12" t="s">
        <v>488</v>
      </c>
      <c r="L105" s="12" t="s">
        <v>455</v>
      </c>
      <c r="M105" s="12" t="s">
        <v>493</v>
      </c>
      <c r="N105" s="12" t="s">
        <v>75</v>
      </c>
      <c r="O105" s="12"/>
      <c r="P105" s="12" t="s">
        <v>183</v>
      </c>
      <c r="Q105" s="12"/>
      <c r="R105" s="12"/>
    </row>
    <row r="106" customFormat="false" ht="15" hidden="false" customHeight="false" outlineLevel="0" collapsed="false">
      <c r="A106" s="12" t="s">
        <v>529</v>
      </c>
      <c r="B106" s="12" t="s">
        <v>443</v>
      </c>
      <c r="C106" s="12" t="s">
        <v>530</v>
      </c>
      <c r="D106" s="12" t="s">
        <v>65</v>
      </c>
      <c r="E106" s="12" t="s">
        <v>91</v>
      </c>
      <c r="F106" s="12" t="s">
        <v>67</v>
      </c>
      <c r="G106" s="12" t="s">
        <v>104</v>
      </c>
      <c r="H106" s="12" t="s">
        <v>531</v>
      </c>
      <c r="I106" s="12" t="s">
        <v>493</v>
      </c>
      <c r="J106" s="12" t="s">
        <v>489</v>
      </c>
      <c r="K106" s="12" t="s">
        <v>450</v>
      </c>
      <c r="L106" s="12" t="s">
        <v>496</v>
      </c>
      <c r="M106" s="12" t="s">
        <v>390</v>
      </c>
      <c r="N106" s="12" t="s">
        <v>75</v>
      </c>
      <c r="O106" s="12"/>
      <c r="P106" s="12"/>
      <c r="Q106" s="12"/>
      <c r="R106" s="12"/>
    </row>
    <row r="107" customFormat="false" ht="15" hidden="false" customHeight="false" outlineLevel="0" collapsed="false">
      <c r="A107" s="12" t="s">
        <v>532</v>
      </c>
      <c r="B107" s="12" t="s">
        <v>443</v>
      </c>
      <c r="C107" s="12" t="s">
        <v>533</v>
      </c>
      <c r="D107" s="12" t="s">
        <v>90</v>
      </c>
      <c r="E107" s="12" t="s">
        <v>66</v>
      </c>
      <c r="F107" s="12" t="s">
        <v>121</v>
      </c>
      <c r="G107" s="12" t="s">
        <v>104</v>
      </c>
      <c r="H107" s="12" t="s">
        <v>534</v>
      </c>
      <c r="I107" s="12" t="s">
        <v>519</v>
      </c>
      <c r="J107" s="12" t="s">
        <v>518</v>
      </c>
      <c r="K107" s="12"/>
      <c r="L107" s="12" t="s">
        <v>518</v>
      </c>
      <c r="M107" s="12"/>
      <c r="N107" s="12" t="s">
        <v>328</v>
      </c>
      <c r="O107" s="12" t="s">
        <v>329</v>
      </c>
      <c r="P107" s="12"/>
      <c r="Q107" s="12"/>
      <c r="R107" s="12" t="s">
        <v>134</v>
      </c>
    </row>
    <row r="108" customFormat="false" ht="15" hidden="false" customHeight="false" outlineLevel="0" collapsed="false">
      <c r="A108" s="12" t="s">
        <v>535</v>
      </c>
      <c r="B108" s="12" t="s">
        <v>443</v>
      </c>
      <c r="C108" s="12" t="s">
        <v>373</v>
      </c>
      <c r="D108" s="12" t="s">
        <v>149</v>
      </c>
      <c r="E108" s="12" t="s">
        <v>102</v>
      </c>
      <c r="F108" s="12" t="s">
        <v>160</v>
      </c>
      <c r="G108" s="12" t="s">
        <v>104</v>
      </c>
      <c r="H108" s="12" t="s">
        <v>536</v>
      </c>
      <c r="I108" s="12" t="s">
        <v>450</v>
      </c>
      <c r="J108" s="12" t="s">
        <v>444</v>
      </c>
      <c r="K108" s="12" t="s">
        <v>484</v>
      </c>
      <c r="L108" s="12" t="s">
        <v>461</v>
      </c>
      <c r="M108" s="12" t="s">
        <v>493</v>
      </c>
      <c r="N108" s="12" t="s">
        <v>75</v>
      </c>
      <c r="O108" s="12"/>
      <c r="P108" s="12" t="s">
        <v>183</v>
      </c>
      <c r="Q108" s="12"/>
      <c r="R108" s="12"/>
    </row>
    <row r="109" customFormat="false" ht="15" hidden="false" customHeight="false" outlineLevel="0" collapsed="false">
      <c r="A109" s="12" t="s">
        <v>537</v>
      </c>
      <c r="B109" s="12" t="s">
        <v>443</v>
      </c>
      <c r="C109" s="12" t="s">
        <v>477</v>
      </c>
      <c r="D109" s="12" t="s">
        <v>90</v>
      </c>
      <c r="E109" s="12" t="s">
        <v>91</v>
      </c>
      <c r="F109" s="12" t="s">
        <v>103</v>
      </c>
      <c r="G109" s="12" t="s">
        <v>104</v>
      </c>
      <c r="H109" s="12" t="s">
        <v>492</v>
      </c>
      <c r="I109" s="12" t="s">
        <v>538</v>
      </c>
      <c r="J109" s="12" t="s">
        <v>450</v>
      </c>
      <c r="K109" s="12" t="s">
        <v>495</v>
      </c>
      <c r="L109" s="12" t="s">
        <v>539</v>
      </c>
      <c r="M109" s="12"/>
      <c r="N109" s="12" t="s">
        <v>328</v>
      </c>
      <c r="O109" s="12"/>
      <c r="P109" s="12"/>
      <c r="Q109" s="12"/>
      <c r="R109" s="12"/>
    </row>
    <row r="110" customFormat="false" ht="15" hidden="false" customHeight="false" outlineLevel="0" collapsed="false">
      <c r="A110" s="12" t="s">
        <v>540</v>
      </c>
      <c r="B110" s="12" t="s">
        <v>469</v>
      </c>
      <c r="C110" s="12" t="s">
        <v>541</v>
      </c>
      <c r="D110" s="12" t="s">
        <v>65</v>
      </c>
      <c r="E110" s="12" t="s">
        <v>66</v>
      </c>
      <c r="F110" s="12" t="s">
        <v>67</v>
      </c>
      <c r="G110" s="12" t="s">
        <v>104</v>
      </c>
      <c r="H110" s="12" t="s">
        <v>542</v>
      </c>
      <c r="I110" s="12" t="s">
        <v>496</v>
      </c>
      <c r="J110" s="12" t="s">
        <v>494</v>
      </c>
      <c r="K110" s="12" t="s">
        <v>543</v>
      </c>
      <c r="L110" s="12" t="s">
        <v>522</v>
      </c>
      <c r="M110" s="12" t="s">
        <v>518</v>
      </c>
      <c r="N110" s="12" t="s">
        <v>75</v>
      </c>
      <c r="O110" s="12"/>
      <c r="P110" s="12" t="s">
        <v>111</v>
      </c>
      <c r="Q110" s="12"/>
      <c r="R110" s="12" t="s">
        <v>134</v>
      </c>
    </row>
    <row r="111" customFormat="false" ht="15" hidden="false" customHeight="false" outlineLevel="0" collapsed="false">
      <c r="A111" s="12" t="s">
        <v>544</v>
      </c>
      <c r="B111" s="12" t="s">
        <v>469</v>
      </c>
      <c r="C111" s="12" t="s">
        <v>545</v>
      </c>
      <c r="D111" s="12" t="s">
        <v>90</v>
      </c>
      <c r="E111" s="12" t="s">
        <v>91</v>
      </c>
      <c r="F111" s="12" t="s">
        <v>121</v>
      </c>
      <c r="G111" s="12" t="s">
        <v>104</v>
      </c>
      <c r="H111" s="12" t="s">
        <v>546</v>
      </c>
      <c r="I111" s="12" t="s">
        <v>547</v>
      </c>
      <c r="J111" s="12" t="s">
        <v>516</v>
      </c>
      <c r="K111" s="12" t="s">
        <v>547</v>
      </c>
      <c r="L111" s="12" t="s">
        <v>517</v>
      </c>
      <c r="M111" s="12" t="s">
        <v>519</v>
      </c>
      <c r="N111" s="12" t="s">
        <v>75</v>
      </c>
      <c r="O111" s="12"/>
      <c r="P111" s="12"/>
      <c r="Q111" s="12"/>
      <c r="R111" s="12"/>
    </row>
    <row r="112" customFormat="false" ht="15" hidden="false" customHeight="false" outlineLevel="0" collapsed="false">
      <c r="A112" s="12" t="s">
        <v>548</v>
      </c>
      <c r="B112" s="12" t="s">
        <v>449</v>
      </c>
      <c r="C112" s="12" t="s">
        <v>549</v>
      </c>
      <c r="D112" s="12" t="s">
        <v>90</v>
      </c>
      <c r="E112" s="12" t="s">
        <v>102</v>
      </c>
      <c r="F112" s="12" t="s">
        <v>103</v>
      </c>
      <c r="G112" s="12" t="s">
        <v>104</v>
      </c>
      <c r="H112" s="12" t="s">
        <v>550</v>
      </c>
      <c r="I112" s="12" t="s">
        <v>509</v>
      </c>
      <c r="J112" s="12" t="s">
        <v>511</v>
      </c>
      <c r="K112" s="12" t="s">
        <v>516</v>
      </c>
      <c r="L112" s="12" t="s">
        <v>512</v>
      </c>
      <c r="M112" s="12" t="s">
        <v>551</v>
      </c>
      <c r="N112" s="12" t="s">
        <v>75</v>
      </c>
      <c r="O112" s="12"/>
      <c r="P112" s="12"/>
      <c r="Q112" s="12"/>
      <c r="R112" s="12"/>
    </row>
    <row r="113" customFormat="false" ht="15" hidden="false" customHeight="false" outlineLevel="0" collapsed="false">
      <c r="A113" s="12" t="s">
        <v>552</v>
      </c>
      <c r="B113" s="12" t="s">
        <v>484</v>
      </c>
      <c r="C113" s="12" t="s">
        <v>553</v>
      </c>
      <c r="D113" s="12" t="s">
        <v>90</v>
      </c>
      <c r="E113" s="12" t="s">
        <v>102</v>
      </c>
      <c r="F113" s="12" t="s">
        <v>121</v>
      </c>
      <c r="G113" s="12" t="s">
        <v>104</v>
      </c>
      <c r="H113" s="12" t="s">
        <v>554</v>
      </c>
      <c r="I113" s="12" t="s">
        <v>551</v>
      </c>
      <c r="J113" s="12" t="s">
        <v>518</v>
      </c>
      <c r="K113" s="12" t="s">
        <v>555</v>
      </c>
      <c r="L113" s="12" t="s">
        <v>556</v>
      </c>
      <c r="M113" s="12" t="s">
        <v>557</v>
      </c>
      <c r="N113" s="12" t="s">
        <v>75</v>
      </c>
      <c r="O113" s="12" t="s">
        <v>110</v>
      </c>
      <c r="P113" s="12" t="s">
        <v>85</v>
      </c>
      <c r="Q113" s="12"/>
      <c r="R113" s="12"/>
    </row>
    <row r="114" customFormat="false" ht="15" hidden="false" customHeight="false" outlineLevel="0" collapsed="false">
      <c r="A114" s="12" t="s">
        <v>558</v>
      </c>
      <c r="B114" s="12" t="s">
        <v>488</v>
      </c>
      <c r="C114" s="12" t="s">
        <v>559</v>
      </c>
      <c r="D114" s="12" t="s">
        <v>149</v>
      </c>
      <c r="E114" s="12" t="s">
        <v>102</v>
      </c>
      <c r="F114" s="12" t="s">
        <v>160</v>
      </c>
      <c r="G114" s="12" t="s">
        <v>104</v>
      </c>
      <c r="H114" s="12" t="s">
        <v>560</v>
      </c>
      <c r="I114" s="12" t="s">
        <v>493</v>
      </c>
      <c r="J114" s="12" t="s">
        <v>453</v>
      </c>
      <c r="K114" s="12" t="s">
        <v>495</v>
      </c>
      <c r="L114" s="12" t="s">
        <v>538</v>
      </c>
      <c r="M114" s="12" t="s">
        <v>455</v>
      </c>
      <c r="N114" s="12" t="s">
        <v>75</v>
      </c>
      <c r="O114" s="12"/>
      <c r="P114" s="12"/>
      <c r="Q114" s="12"/>
      <c r="R114" s="12"/>
    </row>
    <row r="115" customFormat="false" ht="15" hidden="false" customHeight="false" outlineLevel="0" collapsed="false">
      <c r="A115" s="12" t="s">
        <v>561</v>
      </c>
      <c r="B115" s="12" t="s">
        <v>436</v>
      </c>
      <c r="C115" s="12" t="s">
        <v>428</v>
      </c>
      <c r="D115" s="12" t="s">
        <v>90</v>
      </c>
      <c r="E115" s="12" t="s">
        <v>91</v>
      </c>
      <c r="F115" s="12" t="s">
        <v>103</v>
      </c>
      <c r="G115" s="12" t="s">
        <v>104</v>
      </c>
      <c r="H115" s="12"/>
      <c r="I115" s="12" t="s">
        <v>522</v>
      </c>
      <c r="J115" s="12" t="s">
        <v>501</v>
      </c>
      <c r="K115" s="12" t="s">
        <v>494</v>
      </c>
      <c r="L115" s="12" t="s">
        <v>523</v>
      </c>
      <c r="M115" s="12" t="s">
        <v>539</v>
      </c>
      <c r="N115" s="12" t="s">
        <v>75</v>
      </c>
      <c r="O115" s="12"/>
      <c r="P115" s="12"/>
      <c r="Q115" s="12"/>
      <c r="R115" s="12"/>
    </row>
    <row r="116" customFormat="false" ht="15" hidden="false" customHeight="false" outlineLevel="0" collapsed="false">
      <c r="A116" s="12" t="s">
        <v>562</v>
      </c>
      <c r="B116" s="12" t="s">
        <v>436</v>
      </c>
      <c r="C116" s="12" t="s">
        <v>388</v>
      </c>
      <c r="D116" s="12" t="s">
        <v>65</v>
      </c>
      <c r="E116" s="12" t="s">
        <v>66</v>
      </c>
      <c r="F116" s="12" t="s">
        <v>121</v>
      </c>
      <c r="G116" s="12" t="s">
        <v>104</v>
      </c>
      <c r="H116" s="12" t="s">
        <v>563</v>
      </c>
      <c r="I116" s="12" t="s">
        <v>555</v>
      </c>
      <c r="J116" s="12" t="s">
        <v>496</v>
      </c>
      <c r="K116" s="12" t="s">
        <v>511</v>
      </c>
      <c r="L116" s="12" t="s">
        <v>557</v>
      </c>
      <c r="M116" s="12" t="s">
        <v>517</v>
      </c>
      <c r="N116" s="12" t="s">
        <v>75</v>
      </c>
      <c r="O116" s="12"/>
      <c r="P116" s="12"/>
      <c r="Q116" s="12"/>
      <c r="R116" s="12" t="s">
        <v>226</v>
      </c>
    </row>
    <row r="117" customFormat="false" ht="15" hidden="false" customHeight="false" outlineLevel="0" collapsed="false">
      <c r="A117" s="12" t="s">
        <v>564</v>
      </c>
      <c r="B117" s="12" t="s">
        <v>436</v>
      </c>
      <c r="C117" s="12" t="s">
        <v>405</v>
      </c>
      <c r="D117" s="12" t="s">
        <v>149</v>
      </c>
      <c r="E117" s="12" t="s">
        <v>102</v>
      </c>
      <c r="F117" s="12" t="s">
        <v>150</v>
      </c>
      <c r="G117" s="12" t="s">
        <v>104</v>
      </c>
      <c r="H117" s="12" t="s">
        <v>565</v>
      </c>
      <c r="I117" s="12" t="s">
        <v>496</v>
      </c>
      <c r="J117" s="12" t="s">
        <v>489</v>
      </c>
      <c r="K117" s="12" t="s">
        <v>495</v>
      </c>
      <c r="L117" s="12" t="s">
        <v>539</v>
      </c>
      <c r="M117" s="12" t="s">
        <v>522</v>
      </c>
      <c r="N117" s="12" t="s">
        <v>75</v>
      </c>
      <c r="O117" s="12"/>
      <c r="P117" s="12" t="s">
        <v>183</v>
      </c>
      <c r="Q117" s="12"/>
      <c r="R117" s="12" t="s">
        <v>168</v>
      </c>
    </row>
    <row r="118" customFormat="false" ht="15" hidden="false" customHeight="false" outlineLevel="0" collapsed="false">
      <c r="A118" s="12" t="s">
        <v>566</v>
      </c>
      <c r="B118" s="12" t="s">
        <v>453</v>
      </c>
      <c r="C118" s="12" t="s">
        <v>101</v>
      </c>
      <c r="D118" s="12" t="s">
        <v>65</v>
      </c>
      <c r="E118" s="12" t="s">
        <v>102</v>
      </c>
      <c r="F118" s="12" t="s">
        <v>121</v>
      </c>
      <c r="G118" s="12" t="s">
        <v>104</v>
      </c>
      <c r="H118" s="12" t="s">
        <v>567</v>
      </c>
      <c r="I118" s="12" t="s">
        <v>555</v>
      </c>
      <c r="J118" s="12" t="s">
        <v>516</v>
      </c>
      <c r="K118" s="12" t="s">
        <v>543</v>
      </c>
      <c r="L118" s="12" t="s">
        <v>557</v>
      </c>
      <c r="M118" s="12" t="s">
        <v>568</v>
      </c>
      <c r="N118" s="12" t="s">
        <v>75</v>
      </c>
      <c r="O118" s="12"/>
      <c r="P118" s="12" t="s">
        <v>183</v>
      </c>
      <c r="Q118" s="12"/>
      <c r="R118" s="12" t="s">
        <v>98</v>
      </c>
    </row>
    <row r="119" customFormat="false" ht="15" hidden="false" customHeight="false" outlineLevel="0" collapsed="false">
      <c r="A119" s="12" t="s">
        <v>569</v>
      </c>
      <c r="B119" s="12" t="s">
        <v>485</v>
      </c>
      <c r="C119" s="12" t="s">
        <v>212</v>
      </c>
      <c r="D119" s="12" t="s">
        <v>65</v>
      </c>
      <c r="E119" s="12" t="s">
        <v>66</v>
      </c>
      <c r="F119" s="12" t="s">
        <v>67</v>
      </c>
      <c r="G119" s="12" t="s">
        <v>68</v>
      </c>
      <c r="H119" s="12" t="s">
        <v>570</v>
      </c>
      <c r="I119" s="12" t="s">
        <v>543</v>
      </c>
      <c r="J119" s="12" t="s">
        <v>538</v>
      </c>
      <c r="K119" s="12" t="s">
        <v>512</v>
      </c>
      <c r="L119" s="12" t="s">
        <v>551</v>
      </c>
      <c r="M119" s="12" t="s">
        <v>523</v>
      </c>
      <c r="N119" s="12" t="s">
        <v>75</v>
      </c>
      <c r="O119" s="12"/>
      <c r="P119" s="12"/>
      <c r="Q119" s="12"/>
      <c r="R119" s="12"/>
    </row>
    <row r="120" customFormat="false" ht="15" hidden="false" customHeight="false" outlineLevel="0" collapsed="false">
      <c r="A120" s="12" t="s">
        <v>571</v>
      </c>
      <c r="B120" s="12" t="s">
        <v>485</v>
      </c>
      <c r="C120" s="12" t="s">
        <v>572</v>
      </c>
      <c r="D120" s="12" t="s">
        <v>149</v>
      </c>
      <c r="E120" s="12" t="s">
        <v>66</v>
      </c>
      <c r="F120" s="12" t="s">
        <v>160</v>
      </c>
      <c r="G120" s="12" t="s">
        <v>104</v>
      </c>
      <c r="H120" s="12" t="s">
        <v>402</v>
      </c>
      <c r="I120" s="12" t="s">
        <v>510</v>
      </c>
      <c r="J120" s="12" t="s">
        <v>493</v>
      </c>
      <c r="K120" s="12" t="s">
        <v>511</v>
      </c>
      <c r="L120" s="12" t="s">
        <v>511</v>
      </c>
      <c r="M120" s="12" t="s">
        <v>512</v>
      </c>
      <c r="N120" s="12" t="s">
        <v>75</v>
      </c>
      <c r="O120" s="12"/>
      <c r="P120" s="12"/>
      <c r="Q120" s="12"/>
      <c r="R120" s="12" t="s">
        <v>98</v>
      </c>
    </row>
    <row r="121" customFormat="false" ht="15" hidden="false" customHeight="false" outlineLevel="0" collapsed="false">
      <c r="A121" s="12" t="s">
        <v>573</v>
      </c>
      <c r="B121" s="12" t="s">
        <v>485</v>
      </c>
      <c r="C121" s="12" t="s">
        <v>574</v>
      </c>
      <c r="D121" s="12" t="s">
        <v>149</v>
      </c>
      <c r="E121" s="12" t="s">
        <v>91</v>
      </c>
      <c r="F121" s="12" t="s">
        <v>150</v>
      </c>
      <c r="G121" s="12" t="s">
        <v>104</v>
      </c>
      <c r="H121" s="12" t="s">
        <v>575</v>
      </c>
      <c r="I121" s="12" t="s">
        <v>510</v>
      </c>
      <c r="J121" s="12" t="s">
        <v>455</v>
      </c>
      <c r="K121" s="12" t="s">
        <v>461</v>
      </c>
      <c r="L121" s="12" t="s">
        <v>511</v>
      </c>
      <c r="M121" s="12" t="s">
        <v>493</v>
      </c>
      <c r="N121" s="12" t="s">
        <v>75</v>
      </c>
      <c r="O121" s="12"/>
      <c r="P121" s="12"/>
      <c r="Q121" s="12"/>
      <c r="R121" s="12" t="s">
        <v>86</v>
      </c>
    </row>
    <row r="122" customFormat="false" ht="15" hidden="false" customHeight="false" outlineLevel="0" collapsed="false">
      <c r="A122" s="12" t="s">
        <v>576</v>
      </c>
      <c r="B122" s="12" t="s">
        <v>485</v>
      </c>
      <c r="C122" s="12" t="s">
        <v>320</v>
      </c>
      <c r="D122" s="12" t="s">
        <v>149</v>
      </c>
      <c r="E122" s="12" t="s">
        <v>91</v>
      </c>
      <c r="F122" s="12" t="s">
        <v>160</v>
      </c>
      <c r="G122" s="12" t="s">
        <v>104</v>
      </c>
      <c r="H122" s="12" t="s">
        <v>577</v>
      </c>
      <c r="I122" s="12" t="s">
        <v>494</v>
      </c>
      <c r="J122" s="12" t="s">
        <v>493</v>
      </c>
      <c r="K122" s="12" t="s">
        <v>494</v>
      </c>
      <c r="L122" s="12" t="s">
        <v>496</v>
      </c>
      <c r="M122" s="12" t="s">
        <v>511</v>
      </c>
      <c r="N122" s="12" t="s">
        <v>75</v>
      </c>
      <c r="O122" s="12"/>
      <c r="P122" s="12" t="s">
        <v>111</v>
      </c>
      <c r="Q122" s="12"/>
      <c r="R122" s="12" t="s">
        <v>98</v>
      </c>
    </row>
    <row r="123" customFormat="false" ht="15" hidden="false" customHeight="false" outlineLevel="0" collapsed="false">
      <c r="A123" s="12" t="s">
        <v>578</v>
      </c>
      <c r="B123" s="12" t="s">
        <v>489</v>
      </c>
      <c r="C123" s="12" t="s">
        <v>579</v>
      </c>
      <c r="D123" s="12" t="s">
        <v>65</v>
      </c>
      <c r="E123" s="12" t="s">
        <v>102</v>
      </c>
      <c r="F123" s="12" t="s">
        <v>67</v>
      </c>
      <c r="G123" s="12" t="s">
        <v>92</v>
      </c>
      <c r="H123" s="12" t="s">
        <v>580</v>
      </c>
      <c r="I123" s="12" t="s">
        <v>547</v>
      </c>
      <c r="J123" s="12" t="s">
        <v>454</v>
      </c>
      <c r="K123" s="12" t="s">
        <v>494</v>
      </c>
      <c r="L123" s="12" t="s">
        <v>517</v>
      </c>
      <c r="M123" s="12" t="s">
        <v>510</v>
      </c>
      <c r="N123" s="12" t="s">
        <v>75</v>
      </c>
      <c r="O123" s="12"/>
      <c r="P123" s="12"/>
      <c r="Q123" s="12"/>
      <c r="R123" s="12"/>
    </row>
    <row r="124" customFormat="false" ht="15" hidden="false" customHeight="false" outlineLevel="0" collapsed="false">
      <c r="A124" s="12" t="s">
        <v>581</v>
      </c>
      <c r="B124" s="12" t="s">
        <v>489</v>
      </c>
      <c r="C124" s="12" t="s">
        <v>582</v>
      </c>
      <c r="D124" s="12" t="s">
        <v>90</v>
      </c>
      <c r="E124" s="12" t="s">
        <v>102</v>
      </c>
      <c r="F124" s="12" t="s">
        <v>103</v>
      </c>
      <c r="G124" s="12" t="s">
        <v>104</v>
      </c>
      <c r="H124" s="12" t="s">
        <v>583</v>
      </c>
      <c r="I124" s="12" t="s">
        <v>519</v>
      </c>
      <c r="J124" s="12" t="s">
        <v>547</v>
      </c>
      <c r="K124" s="12" t="s">
        <v>519</v>
      </c>
      <c r="L124" s="12" t="s">
        <v>518</v>
      </c>
      <c r="M124" s="12" t="s">
        <v>568</v>
      </c>
      <c r="N124" s="12" t="s">
        <v>75</v>
      </c>
      <c r="O124" s="12"/>
      <c r="P124" s="12" t="s">
        <v>183</v>
      </c>
      <c r="Q124" s="12"/>
      <c r="R124" s="12" t="s">
        <v>98</v>
      </c>
    </row>
    <row r="125" customFormat="false" ht="15" hidden="false" customHeight="false" outlineLevel="0" collapsed="false">
      <c r="A125" s="12" t="s">
        <v>584</v>
      </c>
      <c r="B125" s="12" t="s">
        <v>489</v>
      </c>
      <c r="C125" s="12" t="s">
        <v>472</v>
      </c>
      <c r="D125" s="12" t="s">
        <v>90</v>
      </c>
      <c r="E125" s="12" t="s">
        <v>102</v>
      </c>
      <c r="F125" s="12" t="s">
        <v>103</v>
      </c>
      <c r="G125" s="12" t="s">
        <v>68</v>
      </c>
      <c r="H125" s="12" t="s">
        <v>585</v>
      </c>
      <c r="I125" s="12" t="s">
        <v>519</v>
      </c>
      <c r="J125" s="12"/>
      <c r="K125" s="12"/>
      <c r="L125" s="12" t="s">
        <v>518</v>
      </c>
      <c r="M125" s="12"/>
      <c r="N125" s="12" t="s">
        <v>188</v>
      </c>
      <c r="O125" s="12"/>
      <c r="P125" s="12"/>
      <c r="Q125" s="12" t="s">
        <v>220</v>
      </c>
      <c r="R125" s="12"/>
    </row>
    <row r="126" customFormat="false" ht="15" hidden="false" customHeight="false" outlineLevel="0" collapsed="false">
      <c r="A126" s="12" t="s">
        <v>586</v>
      </c>
      <c r="B126" s="12" t="s">
        <v>489</v>
      </c>
      <c r="C126" s="12" t="s">
        <v>174</v>
      </c>
      <c r="D126" s="12" t="s">
        <v>90</v>
      </c>
      <c r="E126" s="12" t="s">
        <v>102</v>
      </c>
      <c r="F126" s="12" t="s">
        <v>160</v>
      </c>
      <c r="G126" s="12" t="s">
        <v>104</v>
      </c>
      <c r="H126" s="12" t="s">
        <v>362</v>
      </c>
      <c r="I126" s="12" t="s">
        <v>496</v>
      </c>
      <c r="J126" s="12" t="s">
        <v>390</v>
      </c>
      <c r="K126" s="12" t="s">
        <v>501</v>
      </c>
      <c r="L126" s="12" t="s">
        <v>539</v>
      </c>
      <c r="M126" s="12" t="s">
        <v>494</v>
      </c>
      <c r="N126" s="12" t="s">
        <v>75</v>
      </c>
      <c r="O126" s="12"/>
      <c r="P126" s="12"/>
      <c r="Q126" s="12"/>
      <c r="R126" s="12"/>
    </row>
    <row r="127" customFormat="false" ht="15" hidden="false" customHeight="false" outlineLevel="0" collapsed="false">
      <c r="A127" s="12" t="s">
        <v>587</v>
      </c>
      <c r="B127" s="12" t="s">
        <v>450</v>
      </c>
      <c r="C127" s="12" t="s">
        <v>588</v>
      </c>
      <c r="D127" s="12" t="s">
        <v>90</v>
      </c>
      <c r="E127" s="12" t="s">
        <v>91</v>
      </c>
      <c r="F127" s="12" t="s">
        <v>103</v>
      </c>
      <c r="G127" s="12" t="s">
        <v>104</v>
      </c>
      <c r="H127" s="12" t="s">
        <v>589</v>
      </c>
      <c r="I127" s="12" t="s">
        <v>523</v>
      </c>
      <c r="J127" s="12" t="s">
        <v>512</v>
      </c>
      <c r="K127" s="12" t="s">
        <v>547</v>
      </c>
      <c r="L127" s="12" t="s">
        <v>590</v>
      </c>
      <c r="M127" s="12" t="s">
        <v>591</v>
      </c>
      <c r="N127" s="12" t="s">
        <v>75</v>
      </c>
      <c r="O127" s="12"/>
      <c r="P127" s="12"/>
      <c r="Q127" s="12"/>
      <c r="R127" s="12"/>
    </row>
    <row r="128" customFormat="false" ht="15" hidden="false" customHeight="false" outlineLevel="0" collapsed="false">
      <c r="A128" s="12" t="s">
        <v>592</v>
      </c>
      <c r="B128" s="12" t="s">
        <v>450</v>
      </c>
      <c r="C128" s="12" t="s">
        <v>212</v>
      </c>
      <c r="D128" s="12" t="s">
        <v>90</v>
      </c>
      <c r="E128" s="12" t="s">
        <v>91</v>
      </c>
      <c r="F128" s="12" t="s">
        <v>160</v>
      </c>
      <c r="G128" s="12" t="s">
        <v>104</v>
      </c>
      <c r="H128" s="12" t="s">
        <v>362</v>
      </c>
      <c r="I128" s="12" t="s">
        <v>456</v>
      </c>
      <c r="J128" s="12" t="s">
        <v>538</v>
      </c>
      <c r="K128" s="12" t="s">
        <v>456</v>
      </c>
      <c r="L128" s="12" t="s">
        <v>509</v>
      </c>
      <c r="M128" s="12" t="s">
        <v>510</v>
      </c>
      <c r="N128" s="12" t="s">
        <v>75</v>
      </c>
      <c r="O128" s="12"/>
      <c r="P128" s="12"/>
      <c r="Q128" s="12"/>
      <c r="R128" s="12" t="s">
        <v>86</v>
      </c>
    </row>
    <row r="129" customFormat="false" ht="15" hidden="false" customHeight="false" outlineLevel="0" collapsed="false">
      <c r="A129" s="12" t="s">
        <v>593</v>
      </c>
      <c r="B129" s="12" t="s">
        <v>495</v>
      </c>
      <c r="C129" s="12" t="s">
        <v>262</v>
      </c>
      <c r="D129" s="12" t="s">
        <v>90</v>
      </c>
      <c r="E129" s="12" t="s">
        <v>91</v>
      </c>
      <c r="F129" s="12" t="s">
        <v>67</v>
      </c>
      <c r="G129" s="12" t="s">
        <v>104</v>
      </c>
      <c r="H129" s="12" t="s">
        <v>594</v>
      </c>
      <c r="I129" s="12" t="s">
        <v>547</v>
      </c>
      <c r="J129" s="12" t="s">
        <v>378</v>
      </c>
      <c r="K129" s="12" t="s">
        <v>556</v>
      </c>
      <c r="L129" s="12" t="s">
        <v>517</v>
      </c>
      <c r="M129" s="12" t="s">
        <v>371</v>
      </c>
      <c r="N129" s="12" t="s">
        <v>75</v>
      </c>
      <c r="O129" s="12" t="s">
        <v>84</v>
      </c>
      <c r="P129" s="12"/>
      <c r="Q129" s="12"/>
      <c r="R129" s="12" t="s">
        <v>226</v>
      </c>
    </row>
    <row r="130" customFormat="false" ht="15" hidden="false" customHeight="false" outlineLevel="0" collapsed="false">
      <c r="A130" s="12" t="s">
        <v>595</v>
      </c>
      <c r="B130" s="12" t="s">
        <v>495</v>
      </c>
      <c r="C130" s="12" t="s">
        <v>549</v>
      </c>
      <c r="D130" s="12" t="s">
        <v>65</v>
      </c>
      <c r="E130" s="12" t="s">
        <v>102</v>
      </c>
      <c r="F130" s="12" t="s">
        <v>160</v>
      </c>
      <c r="G130" s="12" t="s">
        <v>104</v>
      </c>
      <c r="H130" s="12" t="s">
        <v>596</v>
      </c>
      <c r="I130" s="12" t="s">
        <v>509</v>
      </c>
      <c r="J130" s="12" t="s">
        <v>390</v>
      </c>
      <c r="K130" s="12" t="s">
        <v>501</v>
      </c>
      <c r="L130" s="12" t="s">
        <v>522</v>
      </c>
      <c r="M130" s="12" t="s">
        <v>516</v>
      </c>
      <c r="N130" s="12" t="s">
        <v>75</v>
      </c>
      <c r="O130" s="12"/>
      <c r="P130" s="12" t="s">
        <v>183</v>
      </c>
      <c r="Q130" s="12"/>
      <c r="R130" s="12" t="s">
        <v>226</v>
      </c>
    </row>
    <row r="131" customFormat="false" ht="15" hidden="false" customHeight="false" outlineLevel="0" collapsed="false">
      <c r="A131" s="12" t="s">
        <v>597</v>
      </c>
      <c r="B131" s="12" t="s">
        <v>495</v>
      </c>
      <c r="C131" s="12" t="s">
        <v>598</v>
      </c>
      <c r="D131" s="12" t="s">
        <v>90</v>
      </c>
      <c r="E131" s="12" t="s">
        <v>66</v>
      </c>
      <c r="F131" s="12" t="s">
        <v>121</v>
      </c>
      <c r="G131" s="12" t="s">
        <v>104</v>
      </c>
      <c r="H131" s="12" t="s">
        <v>599</v>
      </c>
      <c r="I131" s="12" t="s">
        <v>371</v>
      </c>
      <c r="J131" s="12"/>
      <c r="K131" s="12"/>
      <c r="L131" s="12" t="s">
        <v>600</v>
      </c>
      <c r="M131" s="12"/>
      <c r="N131" s="12" t="s">
        <v>328</v>
      </c>
      <c r="O131" s="12" t="s">
        <v>84</v>
      </c>
      <c r="P131" s="12"/>
      <c r="Q131" s="12"/>
      <c r="R131" s="12" t="s">
        <v>226</v>
      </c>
    </row>
    <row r="132" customFormat="false" ht="15" hidden="false" customHeight="false" outlineLevel="0" collapsed="false">
      <c r="A132" s="12" t="s">
        <v>601</v>
      </c>
      <c r="B132" s="12" t="s">
        <v>455</v>
      </c>
      <c r="C132" s="12" t="s">
        <v>296</v>
      </c>
      <c r="D132" s="12" t="s">
        <v>149</v>
      </c>
      <c r="E132" s="12" t="s">
        <v>102</v>
      </c>
      <c r="F132" s="12" t="s">
        <v>160</v>
      </c>
      <c r="G132" s="12" t="s">
        <v>104</v>
      </c>
      <c r="H132" s="12" t="s">
        <v>208</v>
      </c>
      <c r="I132" s="12" t="s">
        <v>539</v>
      </c>
      <c r="J132" s="12" t="s">
        <v>501</v>
      </c>
      <c r="K132" s="12" t="s">
        <v>496</v>
      </c>
      <c r="L132" s="12" t="s">
        <v>516</v>
      </c>
      <c r="M132" s="12" t="s">
        <v>510</v>
      </c>
      <c r="N132" s="12" t="s">
        <v>75</v>
      </c>
      <c r="O132" s="12"/>
      <c r="P132" s="12"/>
      <c r="Q132" s="12"/>
      <c r="R132" s="12" t="s">
        <v>134</v>
      </c>
    </row>
    <row r="133" customFormat="false" ht="15" hidden="false" customHeight="false" outlineLevel="0" collapsed="false">
      <c r="A133" s="12" t="s">
        <v>602</v>
      </c>
      <c r="B133" s="12" t="s">
        <v>461</v>
      </c>
      <c r="C133" s="12" t="s">
        <v>603</v>
      </c>
      <c r="D133" s="12" t="s">
        <v>90</v>
      </c>
      <c r="E133" s="12" t="s">
        <v>91</v>
      </c>
      <c r="F133" s="12" t="s">
        <v>160</v>
      </c>
      <c r="G133" s="12" t="s">
        <v>104</v>
      </c>
      <c r="H133" s="12" t="s">
        <v>604</v>
      </c>
      <c r="I133" s="12" t="s">
        <v>509</v>
      </c>
      <c r="J133" s="12" t="s">
        <v>538</v>
      </c>
      <c r="K133" s="12" t="s">
        <v>496</v>
      </c>
      <c r="L133" s="12" t="s">
        <v>522</v>
      </c>
      <c r="M133" s="12" t="s">
        <v>539</v>
      </c>
      <c r="N133" s="12" t="s">
        <v>75</v>
      </c>
      <c r="O133" s="12"/>
      <c r="P133" s="12"/>
      <c r="Q133" s="12"/>
      <c r="R133" s="12" t="s">
        <v>98</v>
      </c>
    </row>
    <row r="134" customFormat="false" ht="15" hidden="false" customHeight="false" outlineLevel="0" collapsed="false">
      <c r="A134" s="12" t="s">
        <v>605</v>
      </c>
      <c r="B134" s="12" t="s">
        <v>461</v>
      </c>
      <c r="C134" s="12" t="s">
        <v>474</v>
      </c>
      <c r="D134" s="12" t="s">
        <v>65</v>
      </c>
      <c r="E134" s="12" t="s">
        <v>66</v>
      </c>
      <c r="F134" s="12" t="s">
        <v>160</v>
      </c>
      <c r="G134" s="12" t="s">
        <v>104</v>
      </c>
      <c r="H134" s="12" t="s">
        <v>606</v>
      </c>
      <c r="I134" s="12" t="s">
        <v>516</v>
      </c>
      <c r="J134" s="12" t="s">
        <v>501</v>
      </c>
      <c r="K134" s="12" t="s">
        <v>539</v>
      </c>
      <c r="L134" s="12" t="s">
        <v>543</v>
      </c>
      <c r="M134" s="12" t="s">
        <v>522</v>
      </c>
      <c r="N134" s="12" t="s">
        <v>75</v>
      </c>
      <c r="O134" s="12"/>
      <c r="P134" s="12"/>
      <c r="Q134" s="12"/>
      <c r="R134" s="12" t="s">
        <v>226</v>
      </c>
    </row>
    <row r="135" customFormat="false" ht="15" hidden="false" customHeight="false" outlineLevel="0" collapsed="false">
      <c r="A135" s="12" t="s">
        <v>607</v>
      </c>
      <c r="B135" s="12" t="s">
        <v>493</v>
      </c>
      <c r="C135" s="12" t="s">
        <v>89</v>
      </c>
      <c r="D135" s="12" t="s">
        <v>90</v>
      </c>
      <c r="E135" s="12" t="s">
        <v>102</v>
      </c>
      <c r="F135" s="12" t="s">
        <v>103</v>
      </c>
      <c r="G135" s="12" t="s">
        <v>68</v>
      </c>
      <c r="H135" s="12" t="s">
        <v>608</v>
      </c>
      <c r="I135" s="12" t="s">
        <v>555</v>
      </c>
      <c r="J135" s="12" t="s">
        <v>516</v>
      </c>
      <c r="K135" s="12" t="s">
        <v>547</v>
      </c>
      <c r="L135" s="12" t="s">
        <v>557</v>
      </c>
      <c r="M135" s="12"/>
      <c r="N135" s="12" t="s">
        <v>75</v>
      </c>
      <c r="O135" s="12"/>
      <c r="P135" s="12"/>
      <c r="Q135" s="12"/>
      <c r="R135" s="12"/>
    </row>
    <row r="136" customFormat="false" ht="15" hidden="false" customHeight="false" outlineLevel="0" collapsed="false">
      <c r="A136" s="12" t="s">
        <v>609</v>
      </c>
      <c r="B136" s="12" t="s">
        <v>494</v>
      </c>
      <c r="C136" s="12" t="s">
        <v>610</v>
      </c>
      <c r="D136" s="12" t="s">
        <v>90</v>
      </c>
      <c r="E136" s="12" t="s">
        <v>91</v>
      </c>
      <c r="F136" s="12" t="s">
        <v>121</v>
      </c>
      <c r="G136" s="12" t="s">
        <v>104</v>
      </c>
      <c r="H136" s="12" t="s">
        <v>611</v>
      </c>
      <c r="I136" s="12" t="s">
        <v>612</v>
      </c>
      <c r="J136" s="12"/>
      <c r="K136" s="12"/>
      <c r="L136" s="12" t="s">
        <v>613</v>
      </c>
      <c r="M136" s="12"/>
      <c r="N136" s="12" t="s">
        <v>328</v>
      </c>
      <c r="O136" s="12"/>
      <c r="P136" s="12"/>
      <c r="Q136" s="12"/>
      <c r="R136" s="12" t="s">
        <v>168</v>
      </c>
    </row>
    <row r="137" customFormat="false" ht="15" hidden="false" customHeight="false" outlineLevel="0" collapsed="false">
      <c r="A137" s="12" t="s">
        <v>614</v>
      </c>
      <c r="B137" s="12" t="s">
        <v>538</v>
      </c>
      <c r="C137" s="12" t="s">
        <v>268</v>
      </c>
      <c r="D137" s="12" t="s">
        <v>90</v>
      </c>
      <c r="E137" s="12" t="s">
        <v>102</v>
      </c>
      <c r="F137" s="12" t="s">
        <v>150</v>
      </c>
      <c r="G137" s="12" t="s">
        <v>104</v>
      </c>
      <c r="H137" s="12" t="s">
        <v>615</v>
      </c>
      <c r="I137" s="12" t="s">
        <v>551</v>
      </c>
      <c r="J137" s="12" t="s">
        <v>510</v>
      </c>
      <c r="K137" s="12" t="s">
        <v>539</v>
      </c>
      <c r="L137" s="12" t="s">
        <v>378</v>
      </c>
      <c r="M137" s="12" t="s">
        <v>516</v>
      </c>
      <c r="N137" s="12" t="s">
        <v>75</v>
      </c>
      <c r="O137" s="12"/>
      <c r="P137" s="12"/>
      <c r="Q137" s="12"/>
      <c r="R137" s="12" t="s">
        <v>134</v>
      </c>
    </row>
    <row r="138" customFormat="false" ht="15" hidden="false" customHeight="false" outlineLevel="0" collapsed="false">
      <c r="A138" s="12" t="s">
        <v>616</v>
      </c>
      <c r="B138" s="12" t="s">
        <v>510</v>
      </c>
      <c r="C138" s="12" t="s">
        <v>346</v>
      </c>
      <c r="D138" s="12" t="s">
        <v>90</v>
      </c>
      <c r="E138" s="12" t="s">
        <v>91</v>
      </c>
      <c r="F138" s="12" t="s">
        <v>103</v>
      </c>
      <c r="G138" s="12" t="s">
        <v>68</v>
      </c>
      <c r="H138" s="12" t="s">
        <v>617</v>
      </c>
      <c r="I138" s="12" t="s">
        <v>618</v>
      </c>
      <c r="J138" s="12" t="s">
        <v>618</v>
      </c>
      <c r="K138" s="12" t="s">
        <v>557</v>
      </c>
      <c r="L138" s="12" t="s">
        <v>612</v>
      </c>
      <c r="M138" s="12"/>
      <c r="N138" s="12" t="s">
        <v>328</v>
      </c>
      <c r="O138" s="12" t="s">
        <v>110</v>
      </c>
      <c r="P138" s="12"/>
      <c r="Q138" s="12"/>
      <c r="R138" s="12" t="s">
        <v>168</v>
      </c>
    </row>
    <row r="139" customFormat="false" ht="15" hidden="false" customHeight="false" outlineLevel="0" collapsed="false">
      <c r="A139" s="12" t="s">
        <v>619</v>
      </c>
      <c r="B139" s="12" t="s">
        <v>510</v>
      </c>
      <c r="C139" s="12" t="s">
        <v>620</v>
      </c>
      <c r="D139" s="12" t="s">
        <v>65</v>
      </c>
      <c r="E139" s="12" t="s">
        <v>91</v>
      </c>
      <c r="F139" s="12" t="s">
        <v>160</v>
      </c>
      <c r="G139" s="12" t="s">
        <v>104</v>
      </c>
      <c r="H139" s="12" t="s">
        <v>406</v>
      </c>
      <c r="I139" s="12" t="s">
        <v>519</v>
      </c>
      <c r="J139" s="12" t="s">
        <v>522</v>
      </c>
      <c r="K139" s="12" t="s">
        <v>516</v>
      </c>
      <c r="L139" s="12" t="s">
        <v>551</v>
      </c>
      <c r="M139" s="12" t="s">
        <v>370</v>
      </c>
      <c r="N139" s="12" t="s">
        <v>75</v>
      </c>
      <c r="O139" s="12"/>
      <c r="P139" s="12" t="s">
        <v>183</v>
      </c>
      <c r="Q139" s="12"/>
      <c r="R139" s="12" t="s">
        <v>86</v>
      </c>
    </row>
    <row r="140" customFormat="false" ht="15" hidden="false" customHeight="false" outlineLevel="0" collapsed="false">
      <c r="A140" s="12" t="s">
        <v>621</v>
      </c>
      <c r="B140" s="12" t="s">
        <v>509</v>
      </c>
      <c r="C140" s="12" t="s">
        <v>101</v>
      </c>
      <c r="D140" s="12" t="s">
        <v>90</v>
      </c>
      <c r="E140" s="12" t="s">
        <v>91</v>
      </c>
      <c r="F140" s="12" t="s">
        <v>121</v>
      </c>
      <c r="G140" s="12" t="s">
        <v>104</v>
      </c>
      <c r="H140" s="12" t="s">
        <v>622</v>
      </c>
      <c r="I140" s="12" t="s">
        <v>613</v>
      </c>
      <c r="J140" s="12"/>
      <c r="K140" s="12"/>
      <c r="L140" s="12" t="s">
        <v>623</v>
      </c>
      <c r="M140" s="12"/>
      <c r="N140" s="12" t="s">
        <v>624</v>
      </c>
      <c r="O140" s="12"/>
      <c r="P140" s="12"/>
      <c r="Q140" s="12"/>
      <c r="R140" s="12"/>
    </row>
    <row r="141" customFormat="false" ht="15" hidden="false" customHeight="false" outlineLevel="0" collapsed="false">
      <c r="A141" s="12" t="s">
        <v>625</v>
      </c>
      <c r="B141" s="12" t="s">
        <v>539</v>
      </c>
      <c r="C141" s="12" t="s">
        <v>472</v>
      </c>
      <c r="D141" s="12" t="s">
        <v>149</v>
      </c>
      <c r="E141" s="12" t="s">
        <v>102</v>
      </c>
      <c r="F141" s="12" t="s">
        <v>150</v>
      </c>
      <c r="G141" s="12" t="s">
        <v>104</v>
      </c>
      <c r="H141" s="12" t="s">
        <v>554</v>
      </c>
      <c r="I141" s="12" t="s">
        <v>556</v>
      </c>
      <c r="J141" s="12" t="s">
        <v>551</v>
      </c>
      <c r="K141" s="12" t="s">
        <v>555</v>
      </c>
      <c r="L141" s="12" t="s">
        <v>618</v>
      </c>
      <c r="M141" s="12" t="s">
        <v>371</v>
      </c>
      <c r="N141" s="12" t="s">
        <v>75</v>
      </c>
      <c r="O141" s="12"/>
      <c r="P141" s="12"/>
      <c r="Q141" s="12"/>
      <c r="R141" s="12" t="s">
        <v>134</v>
      </c>
    </row>
    <row r="142" customFormat="false" ht="15" hidden="false" customHeight="false" outlineLevel="0" collapsed="false">
      <c r="A142" s="12" t="s">
        <v>626</v>
      </c>
      <c r="B142" s="12" t="s">
        <v>511</v>
      </c>
      <c r="C142" s="12" t="s">
        <v>491</v>
      </c>
      <c r="D142" s="12" t="s">
        <v>149</v>
      </c>
      <c r="E142" s="12" t="s">
        <v>91</v>
      </c>
      <c r="F142" s="12" t="s">
        <v>160</v>
      </c>
      <c r="G142" s="12" t="s">
        <v>104</v>
      </c>
      <c r="H142" s="12" t="s">
        <v>627</v>
      </c>
      <c r="I142" s="12" t="s">
        <v>551</v>
      </c>
      <c r="J142" s="12" t="s">
        <v>516</v>
      </c>
      <c r="K142" s="12" t="s">
        <v>547</v>
      </c>
      <c r="L142" s="12" t="s">
        <v>378</v>
      </c>
      <c r="M142" s="12" t="s">
        <v>543</v>
      </c>
      <c r="N142" s="12" t="s">
        <v>75</v>
      </c>
      <c r="O142" s="12"/>
      <c r="P142" s="12"/>
      <c r="Q142" s="12"/>
      <c r="R142" s="12" t="s">
        <v>86</v>
      </c>
    </row>
    <row r="143" customFormat="false" ht="15" hidden="false" customHeight="false" outlineLevel="0" collapsed="false">
      <c r="A143" s="12" t="s">
        <v>628</v>
      </c>
      <c r="B143" s="12" t="s">
        <v>516</v>
      </c>
      <c r="C143" s="12" t="s">
        <v>268</v>
      </c>
      <c r="D143" s="12" t="s">
        <v>90</v>
      </c>
      <c r="E143" s="12" t="s">
        <v>91</v>
      </c>
      <c r="F143" s="12" t="s">
        <v>103</v>
      </c>
      <c r="G143" s="12" t="s">
        <v>104</v>
      </c>
      <c r="H143" s="12" t="s">
        <v>629</v>
      </c>
      <c r="I143" s="12" t="s">
        <v>612</v>
      </c>
      <c r="J143" s="12" t="s">
        <v>557</v>
      </c>
      <c r="K143" s="12" t="s">
        <v>568</v>
      </c>
      <c r="L143" s="12" t="s">
        <v>613</v>
      </c>
      <c r="M143" s="12"/>
      <c r="N143" s="12" t="s">
        <v>328</v>
      </c>
      <c r="O143" s="12"/>
      <c r="P143" s="12"/>
      <c r="Q143" s="12"/>
      <c r="R143" s="12" t="s">
        <v>168</v>
      </c>
    </row>
    <row r="144" customFormat="false" ht="15" hidden="false" customHeight="false" outlineLevel="0" collapsed="false">
      <c r="A144" s="12" t="s">
        <v>630</v>
      </c>
      <c r="B144" s="12" t="s">
        <v>512</v>
      </c>
      <c r="C144" s="12" t="s">
        <v>78</v>
      </c>
      <c r="D144" s="12" t="s">
        <v>149</v>
      </c>
      <c r="E144" s="12" t="s">
        <v>91</v>
      </c>
      <c r="F144" s="12" t="s">
        <v>150</v>
      </c>
      <c r="G144" s="12" t="s">
        <v>104</v>
      </c>
      <c r="H144" s="12" t="s">
        <v>631</v>
      </c>
      <c r="I144" s="12" t="s">
        <v>370</v>
      </c>
      <c r="J144" s="12" t="s">
        <v>378</v>
      </c>
      <c r="K144" s="12" t="s">
        <v>555</v>
      </c>
      <c r="L144" s="12" t="s">
        <v>371</v>
      </c>
      <c r="M144" s="12" t="s">
        <v>556</v>
      </c>
      <c r="N144" s="12" t="s">
        <v>75</v>
      </c>
      <c r="O144" s="12"/>
      <c r="P144" s="12"/>
      <c r="Q144" s="12"/>
      <c r="R144" s="12" t="s">
        <v>86</v>
      </c>
    </row>
    <row r="145" customFormat="false" ht="15" hidden="false" customHeight="false" outlineLevel="0" collapsed="false">
      <c r="A145" s="12" t="s">
        <v>632</v>
      </c>
      <c r="B145" s="12" t="s">
        <v>543</v>
      </c>
      <c r="C145" s="12" t="s">
        <v>633</v>
      </c>
      <c r="D145" s="12" t="s">
        <v>90</v>
      </c>
      <c r="E145" s="12" t="s">
        <v>91</v>
      </c>
      <c r="F145" s="12" t="s">
        <v>150</v>
      </c>
      <c r="G145" s="12" t="s">
        <v>104</v>
      </c>
      <c r="H145" s="12" t="s">
        <v>634</v>
      </c>
      <c r="I145" s="12" t="s">
        <v>557</v>
      </c>
      <c r="J145" s="12" t="s">
        <v>618</v>
      </c>
      <c r="K145" s="12" t="s">
        <v>371</v>
      </c>
      <c r="L145" s="12" t="s">
        <v>635</v>
      </c>
      <c r="M145" s="12"/>
      <c r="N145" s="12" t="s">
        <v>328</v>
      </c>
      <c r="O145" s="12" t="s">
        <v>110</v>
      </c>
      <c r="P145" s="12"/>
      <c r="Q145" s="12"/>
      <c r="R145" s="12" t="s">
        <v>86</v>
      </c>
    </row>
    <row r="146" customFormat="false" ht="15" hidden="false" customHeight="false" outlineLevel="0" collapsed="false">
      <c r="A146" s="12" t="s">
        <v>636</v>
      </c>
      <c r="B146" s="12" t="s">
        <v>543</v>
      </c>
      <c r="C146" s="12" t="s">
        <v>637</v>
      </c>
      <c r="D146" s="12" t="s">
        <v>90</v>
      </c>
      <c r="E146" s="12" t="s">
        <v>66</v>
      </c>
      <c r="F146" s="12" t="s">
        <v>160</v>
      </c>
      <c r="G146" s="12" t="s">
        <v>68</v>
      </c>
      <c r="H146" s="12" t="s">
        <v>638</v>
      </c>
      <c r="I146" s="12" t="s">
        <v>557</v>
      </c>
      <c r="J146" s="12" t="s">
        <v>551</v>
      </c>
      <c r="K146" s="12" t="s">
        <v>371</v>
      </c>
      <c r="L146" s="12" t="s">
        <v>635</v>
      </c>
      <c r="M146" s="12"/>
      <c r="N146" s="12" t="s">
        <v>328</v>
      </c>
      <c r="O146" s="12" t="s">
        <v>329</v>
      </c>
      <c r="P146" s="12"/>
      <c r="Q146" s="12"/>
      <c r="R146" s="12"/>
    </row>
    <row r="147" customFormat="false" ht="15" hidden="false" customHeight="false" outlineLevel="0" collapsed="false">
      <c r="A147" s="12" t="s">
        <v>639</v>
      </c>
      <c r="B147" s="12" t="s">
        <v>523</v>
      </c>
      <c r="C147" s="12" t="s">
        <v>640</v>
      </c>
      <c r="D147" s="12" t="s">
        <v>90</v>
      </c>
      <c r="E147" s="12" t="s">
        <v>66</v>
      </c>
      <c r="F147" s="12" t="s">
        <v>67</v>
      </c>
      <c r="G147" s="12" t="s">
        <v>68</v>
      </c>
      <c r="H147" s="12" t="s">
        <v>641</v>
      </c>
      <c r="I147" s="12" t="s">
        <v>613</v>
      </c>
      <c r="J147" s="12"/>
      <c r="K147" s="12"/>
      <c r="L147" s="12" t="s">
        <v>623</v>
      </c>
      <c r="M147" s="12"/>
      <c r="N147" s="12" t="s">
        <v>328</v>
      </c>
      <c r="O147" s="12"/>
      <c r="P147" s="12"/>
      <c r="Q147" s="12"/>
      <c r="R147" s="12"/>
    </row>
    <row r="148" customFormat="false" ht="15" hidden="false" customHeight="false" outlineLevel="0" collapsed="false">
      <c r="A148" s="12" t="s">
        <v>642</v>
      </c>
      <c r="B148" s="12" t="s">
        <v>523</v>
      </c>
      <c r="C148" s="12" t="s">
        <v>643</v>
      </c>
      <c r="D148" s="12" t="s">
        <v>149</v>
      </c>
      <c r="E148" s="12" t="s">
        <v>91</v>
      </c>
      <c r="F148" s="12" t="s">
        <v>160</v>
      </c>
      <c r="G148" s="12" t="s">
        <v>104</v>
      </c>
      <c r="H148" s="12" t="s">
        <v>644</v>
      </c>
      <c r="I148" s="12" t="s">
        <v>310</v>
      </c>
      <c r="J148" s="12" t="s">
        <v>519</v>
      </c>
      <c r="K148" s="12" t="s">
        <v>591</v>
      </c>
      <c r="L148" s="12" t="s">
        <v>557</v>
      </c>
      <c r="M148" s="12" t="s">
        <v>618</v>
      </c>
      <c r="N148" s="12" t="s">
        <v>75</v>
      </c>
      <c r="O148" s="12"/>
      <c r="P148" s="12"/>
      <c r="Q148" s="12"/>
      <c r="R148" s="12"/>
    </row>
    <row r="149" customFormat="false" ht="15" hidden="false" customHeight="false" outlineLevel="0" collapsed="false">
      <c r="A149" s="12" t="s">
        <v>645</v>
      </c>
      <c r="B149" s="12" t="s">
        <v>523</v>
      </c>
      <c r="C149" s="12" t="s">
        <v>164</v>
      </c>
      <c r="D149" s="12" t="s">
        <v>230</v>
      </c>
      <c r="E149" s="12" t="s">
        <v>91</v>
      </c>
      <c r="F149" s="12" t="s">
        <v>67</v>
      </c>
      <c r="G149" s="12" t="s">
        <v>104</v>
      </c>
      <c r="H149" s="12" t="s">
        <v>646</v>
      </c>
      <c r="I149" s="12" t="s">
        <v>647</v>
      </c>
      <c r="J149" s="12" t="s">
        <v>557</v>
      </c>
      <c r="K149" s="12" t="s">
        <v>371</v>
      </c>
      <c r="L149" s="12" t="s">
        <v>648</v>
      </c>
      <c r="M149" s="12"/>
      <c r="N149" s="12" t="s">
        <v>328</v>
      </c>
      <c r="O149" s="12"/>
      <c r="P149" s="12"/>
      <c r="Q149" s="12"/>
      <c r="R149" s="12" t="s">
        <v>226</v>
      </c>
    </row>
    <row r="150" customFormat="false" ht="15" hidden="false" customHeight="false" outlineLevel="0" collapsed="false">
      <c r="A150" s="12" t="s">
        <v>649</v>
      </c>
      <c r="B150" s="12" t="s">
        <v>519</v>
      </c>
      <c r="C150" s="12" t="s">
        <v>650</v>
      </c>
      <c r="D150" s="12" t="s">
        <v>90</v>
      </c>
      <c r="E150" s="12" t="s">
        <v>91</v>
      </c>
      <c r="F150" s="12" t="s">
        <v>150</v>
      </c>
      <c r="G150" s="12" t="s">
        <v>104</v>
      </c>
      <c r="H150" s="12" t="s">
        <v>478</v>
      </c>
      <c r="I150" s="12" t="s">
        <v>568</v>
      </c>
      <c r="J150" s="12" t="s">
        <v>518</v>
      </c>
      <c r="K150" s="12" t="s">
        <v>378</v>
      </c>
      <c r="L150" s="12" t="s">
        <v>647</v>
      </c>
      <c r="M150" s="12" t="s">
        <v>310</v>
      </c>
      <c r="N150" s="12" t="s">
        <v>75</v>
      </c>
      <c r="O150" s="12"/>
      <c r="P150" s="12"/>
      <c r="Q150" s="12"/>
      <c r="R150" s="12"/>
    </row>
    <row r="151" customFormat="false" ht="15" hidden="false" customHeight="false" outlineLevel="0" collapsed="false">
      <c r="A151" s="12" t="s">
        <v>651</v>
      </c>
      <c r="B151" s="12" t="s">
        <v>517</v>
      </c>
      <c r="C151" s="12" t="s">
        <v>285</v>
      </c>
      <c r="D151" s="12" t="s">
        <v>65</v>
      </c>
      <c r="E151" s="12" t="s">
        <v>91</v>
      </c>
      <c r="F151" s="12" t="s">
        <v>121</v>
      </c>
      <c r="G151" s="12" t="s">
        <v>104</v>
      </c>
      <c r="H151" s="12" t="s">
        <v>425</v>
      </c>
      <c r="I151" s="12" t="s">
        <v>652</v>
      </c>
      <c r="J151" s="12"/>
      <c r="K151" s="12"/>
      <c r="L151" s="12" t="s">
        <v>653</v>
      </c>
      <c r="M151" s="12"/>
      <c r="N151" s="12" t="s">
        <v>438</v>
      </c>
      <c r="O151" s="12"/>
      <c r="P151" s="12"/>
      <c r="Q151" s="12"/>
      <c r="R151" s="12" t="s">
        <v>98</v>
      </c>
    </row>
    <row r="152" customFormat="false" ht="15" hidden="false" customHeight="false" outlineLevel="0" collapsed="false">
      <c r="A152" s="12" t="s">
        <v>654</v>
      </c>
      <c r="B152" s="12" t="s">
        <v>517</v>
      </c>
      <c r="C152" s="12" t="s">
        <v>655</v>
      </c>
      <c r="D152" s="12" t="s">
        <v>149</v>
      </c>
      <c r="E152" s="12" t="s">
        <v>91</v>
      </c>
      <c r="F152" s="12" t="s">
        <v>160</v>
      </c>
      <c r="G152" s="12" t="s">
        <v>104</v>
      </c>
      <c r="H152" s="12" t="s">
        <v>656</v>
      </c>
      <c r="I152" s="12" t="s">
        <v>557</v>
      </c>
      <c r="J152" s="12" t="s">
        <v>370</v>
      </c>
      <c r="K152" s="12" t="s">
        <v>557</v>
      </c>
      <c r="L152" s="12" t="s">
        <v>635</v>
      </c>
      <c r="M152" s="12" t="s">
        <v>371</v>
      </c>
      <c r="N152" s="12" t="s">
        <v>75</v>
      </c>
      <c r="O152" s="12"/>
      <c r="P152" s="12"/>
      <c r="Q152" s="12"/>
      <c r="R152" s="12"/>
    </row>
    <row r="153" customFormat="false" ht="15" hidden="false" customHeight="false" outlineLevel="0" collapsed="false">
      <c r="A153" s="12" t="s">
        <v>657</v>
      </c>
      <c r="B153" s="12" t="s">
        <v>517</v>
      </c>
      <c r="C153" s="12" t="s">
        <v>89</v>
      </c>
      <c r="D153" s="12" t="s">
        <v>65</v>
      </c>
      <c r="E153" s="12" t="s">
        <v>91</v>
      </c>
      <c r="F153" s="12" t="s">
        <v>67</v>
      </c>
      <c r="G153" s="12" t="s">
        <v>68</v>
      </c>
      <c r="H153" s="12" t="s">
        <v>658</v>
      </c>
      <c r="I153" s="12" t="s">
        <v>659</v>
      </c>
      <c r="J153" s="12"/>
      <c r="K153" s="12"/>
      <c r="L153" s="12" t="s">
        <v>660</v>
      </c>
      <c r="M153" s="12"/>
      <c r="N153" s="12" t="s">
        <v>328</v>
      </c>
      <c r="O153" s="12"/>
      <c r="P153" s="12"/>
      <c r="Q153" s="12"/>
      <c r="R153" s="12"/>
    </row>
    <row r="154" customFormat="false" ht="15" hidden="false" customHeight="false" outlineLevel="0" collapsed="false">
      <c r="A154" s="12" t="s">
        <v>661</v>
      </c>
      <c r="B154" s="12" t="s">
        <v>551</v>
      </c>
      <c r="C154" s="12" t="s">
        <v>662</v>
      </c>
      <c r="D154" s="12" t="s">
        <v>149</v>
      </c>
      <c r="E154" s="12" t="s">
        <v>66</v>
      </c>
      <c r="F154" s="12" t="s">
        <v>160</v>
      </c>
      <c r="G154" s="12" t="s">
        <v>104</v>
      </c>
      <c r="H154" s="12" t="s">
        <v>663</v>
      </c>
      <c r="I154" s="12" t="s">
        <v>647</v>
      </c>
      <c r="J154" s="12" t="s">
        <v>370</v>
      </c>
      <c r="K154" s="12"/>
      <c r="L154" s="12" t="s">
        <v>659</v>
      </c>
      <c r="M154" s="12"/>
      <c r="N154" s="12" t="s">
        <v>328</v>
      </c>
      <c r="O154" s="12"/>
      <c r="P154" s="12"/>
      <c r="Q154" s="12"/>
      <c r="R154" s="12"/>
    </row>
    <row r="155" customFormat="false" ht="15" hidden="false" customHeight="false" outlineLevel="0" collapsed="false">
      <c r="A155" s="12" t="s">
        <v>661</v>
      </c>
      <c r="B155" s="12" t="s">
        <v>551</v>
      </c>
      <c r="C155" s="12" t="s">
        <v>662</v>
      </c>
      <c r="D155" s="12" t="s">
        <v>149</v>
      </c>
      <c r="E155" s="12" t="s">
        <v>66</v>
      </c>
      <c r="F155" s="12" t="s">
        <v>160</v>
      </c>
      <c r="G155" s="12" t="s">
        <v>104</v>
      </c>
      <c r="H155" s="12" t="s">
        <v>663</v>
      </c>
      <c r="I155" s="12" t="s">
        <v>647</v>
      </c>
      <c r="J155" s="12" t="s">
        <v>370</v>
      </c>
      <c r="K155" s="12"/>
      <c r="L155" s="12" t="s">
        <v>659</v>
      </c>
      <c r="M155" s="12"/>
      <c r="N155" s="12" t="s">
        <v>328</v>
      </c>
      <c r="O155" s="12"/>
      <c r="P155" s="12"/>
      <c r="Q155" s="12"/>
      <c r="R155" s="12"/>
    </row>
    <row r="156" customFormat="false" ht="15" hidden="false" customHeight="false" outlineLevel="0" collapsed="false">
      <c r="A156" s="12" t="s">
        <v>664</v>
      </c>
      <c r="B156" s="12" t="s">
        <v>590</v>
      </c>
      <c r="C156" s="12" t="s">
        <v>331</v>
      </c>
      <c r="D156" s="12" t="s">
        <v>90</v>
      </c>
      <c r="E156" s="12" t="s">
        <v>102</v>
      </c>
      <c r="F156" s="12" t="s">
        <v>160</v>
      </c>
      <c r="G156" s="12" t="s">
        <v>68</v>
      </c>
      <c r="H156" s="12" t="s">
        <v>665</v>
      </c>
      <c r="I156" s="12" t="s">
        <v>612</v>
      </c>
      <c r="J156" s="12" t="s">
        <v>310</v>
      </c>
      <c r="K156" s="12"/>
      <c r="L156" s="12" t="s">
        <v>666</v>
      </c>
      <c r="M156" s="12"/>
      <c r="N156" s="12" t="s">
        <v>188</v>
      </c>
      <c r="O156" s="12"/>
      <c r="P156" s="12"/>
      <c r="Q156" s="12" t="s">
        <v>210</v>
      </c>
      <c r="R156" s="12" t="s">
        <v>226</v>
      </c>
    </row>
    <row r="157" customFormat="false" ht="15" hidden="false" customHeight="false" outlineLevel="0" collapsed="false">
      <c r="A157" s="12" t="s">
        <v>667</v>
      </c>
      <c r="B157" s="12" t="s">
        <v>590</v>
      </c>
      <c r="C157" s="12" t="s">
        <v>432</v>
      </c>
      <c r="D157" s="12" t="s">
        <v>149</v>
      </c>
      <c r="E157" s="12" t="s">
        <v>91</v>
      </c>
      <c r="F157" s="12" t="s">
        <v>160</v>
      </c>
      <c r="G157" s="12" t="s">
        <v>104</v>
      </c>
      <c r="H157" s="12" t="s">
        <v>668</v>
      </c>
      <c r="I157" s="12" t="s">
        <v>568</v>
      </c>
      <c r="J157" s="12" t="s">
        <v>556</v>
      </c>
      <c r="K157" s="12" t="s">
        <v>310</v>
      </c>
      <c r="L157" s="12" t="s">
        <v>647</v>
      </c>
      <c r="M157" s="12" t="s">
        <v>568</v>
      </c>
      <c r="N157" s="12" t="s">
        <v>75</v>
      </c>
      <c r="O157" s="12"/>
      <c r="P157" s="12"/>
      <c r="Q157" s="12"/>
      <c r="R157" s="12" t="s">
        <v>86</v>
      </c>
    </row>
    <row r="158" customFormat="false" ht="15" hidden="false" customHeight="false" outlineLevel="0" collapsed="false">
      <c r="A158" s="12" t="s">
        <v>669</v>
      </c>
      <c r="B158" s="12" t="s">
        <v>378</v>
      </c>
      <c r="C158" s="12" t="s">
        <v>249</v>
      </c>
      <c r="D158" s="12" t="s">
        <v>90</v>
      </c>
      <c r="E158" s="12" t="s">
        <v>66</v>
      </c>
      <c r="F158" s="12" t="s">
        <v>67</v>
      </c>
      <c r="G158" s="12" t="s">
        <v>104</v>
      </c>
      <c r="H158" s="12" t="s">
        <v>670</v>
      </c>
      <c r="I158" s="12" t="s">
        <v>671</v>
      </c>
      <c r="J158" s="12"/>
      <c r="K158" s="12"/>
      <c r="L158" s="12" t="s">
        <v>672</v>
      </c>
      <c r="M158" s="12"/>
      <c r="N158" s="12" t="s">
        <v>328</v>
      </c>
      <c r="O158" s="12"/>
      <c r="P158" s="12"/>
      <c r="Q158" s="12"/>
      <c r="R158" s="12" t="s">
        <v>226</v>
      </c>
    </row>
    <row r="159" customFormat="false" ht="15" hidden="false" customHeight="false" outlineLevel="0" collapsed="false">
      <c r="A159" s="12" t="s">
        <v>673</v>
      </c>
      <c r="B159" s="12" t="s">
        <v>555</v>
      </c>
      <c r="C159" s="12" t="s">
        <v>674</v>
      </c>
      <c r="D159" s="12" t="s">
        <v>90</v>
      </c>
      <c r="E159" s="12" t="s">
        <v>91</v>
      </c>
      <c r="F159" s="12" t="s">
        <v>67</v>
      </c>
      <c r="G159" s="12" t="s">
        <v>104</v>
      </c>
      <c r="H159" s="12" t="s">
        <v>675</v>
      </c>
      <c r="I159" s="12" t="s">
        <v>660</v>
      </c>
      <c r="J159" s="12"/>
      <c r="K159" s="12"/>
      <c r="L159" s="12" t="s">
        <v>676</v>
      </c>
      <c r="M159" s="12"/>
      <c r="N159" s="12" t="s">
        <v>328</v>
      </c>
      <c r="O159" s="12"/>
      <c r="P159" s="12"/>
      <c r="Q159" s="12"/>
      <c r="R159" s="12" t="s">
        <v>226</v>
      </c>
    </row>
    <row r="160" customFormat="false" ht="15" hidden="false" customHeight="false" outlineLevel="0" collapsed="false">
      <c r="A160" s="12" t="s">
        <v>677</v>
      </c>
      <c r="B160" s="12" t="s">
        <v>555</v>
      </c>
      <c r="C160" s="12" t="s">
        <v>491</v>
      </c>
      <c r="D160" s="12" t="s">
        <v>90</v>
      </c>
      <c r="E160" s="12" t="s">
        <v>66</v>
      </c>
      <c r="F160" s="12" t="s">
        <v>121</v>
      </c>
      <c r="G160" s="12" t="s">
        <v>68</v>
      </c>
      <c r="H160" s="12" t="s">
        <v>678</v>
      </c>
      <c r="I160" s="12" t="s">
        <v>679</v>
      </c>
      <c r="J160" s="12"/>
      <c r="K160" s="12"/>
      <c r="L160" s="12" t="s">
        <v>680</v>
      </c>
      <c r="M160" s="12"/>
      <c r="N160" s="12" t="s">
        <v>328</v>
      </c>
      <c r="O160" s="12"/>
      <c r="P160" s="12"/>
      <c r="Q160" s="12"/>
      <c r="R160" s="12" t="s">
        <v>86</v>
      </c>
    </row>
    <row r="161" customFormat="false" ht="15" hidden="false" customHeight="false" outlineLevel="0" collapsed="false">
      <c r="A161" s="12" t="s">
        <v>681</v>
      </c>
      <c r="B161" s="12" t="s">
        <v>555</v>
      </c>
      <c r="C161" s="12" t="s">
        <v>682</v>
      </c>
      <c r="D161" s="12" t="s">
        <v>90</v>
      </c>
      <c r="E161" s="12" t="s">
        <v>102</v>
      </c>
      <c r="F161" s="12" t="s">
        <v>121</v>
      </c>
      <c r="G161" s="12" t="s">
        <v>104</v>
      </c>
      <c r="H161" s="12" t="s">
        <v>683</v>
      </c>
      <c r="I161" s="12" t="s">
        <v>684</v>
      </c>
      <c r="J161" s="12"/>
      <c r="K161" s="12"/>
      <c r="L161" s="12" t="s">
        <v>685</v>
      </c>
      <c r="M161" s="12"/>
      <c r="N161" s="12" t="s">
        <v>328</v>
      </c>
      <c r="O161" s="12"/>
      <c r="P161" s="12"/>
      <c r="Q161" s="12"/>
      <c r="R161" s="12"/>
    </row>
    <row r="162" customFormat="false" ht="15" hidden="false" customHeight="false" outlineLevel="0" collapsed="false">
      <c r="A162" s="12" t="s">
        <v>686</v>
      </c>
      <c r="B162" s="12" t="s">
        <v>555</v>
      </c>
      <c r="C162" s="12" t="s">
        <v>637</v>
      </c>
      <c r="D162" s="12" t="s">
        <v>90</v>
      </c>
      <c r="E162" s="12" t="s">
        <v>91</v>
      </c>
      <c r="F162" s="12" t="s">
        <v>67</v>
      </c>
      <c r="G162" s="12" t="s">
        <v>68</v>
      </c>
      <c r="H162" s="12" t="s">
        <v>687</v>
      </c>
      <c r="I162" s="12" t="s">
        <v>660</v>
      </c>
      <c r="J162" s="12" t="s">
        <v>371</v>
      </c>
      <c r="K162" s="12" t="s">
        <v>568</v>
      </c>
      <c r="L162" s="12" t="s">
        <v>676</v>
      </c>
      <c r="M162" s="12"/>
      <c r="N162" s="12" t="s">
        <v>328</v>
      </c>
      <c r="O162" s="12"/>
      <c r="P162" s="12"/>
      <c r="Q162" s="12"/>
      <c r="R162" s="12"/>
    </row>
    <row r="163" customFormat="false" ht="15" hidden="false" customHeight="false" outlineLevel="0" collapsed="false">
      <c r="A163" s="12" t="s">
        <v>688</v>
      </c>
      <c r="B163" s="12" t="s">
        <v>310</v>
      </c>
      <c r="C163" s="12" t="s">
        <v>682</v>
      </c>
      <c r="D163" s="12" t="s">
        <v>149</v>
      </c>
      <c r="E163" s="12" t="s">
        <v>91</v>
      </c>
      <c r="F163" s="12" t="s">
        <v>160</v>
      </c>
      <c r="G163" s="12" t="s">
        <v>104</v>
      </c>
      <c r="H163" s="12" t="s">
        <v>689</v>
      </c>
      <c r="I163" s="12" t="s">
        <v>666</v>
      </c>
      <c r="J163" s="12" t="s">
        <v>370</v>
      </c>
      <c r="K163" s="12" t="s">
        <v>618</v>
      </c>
      <c r="L163" s="12" t="s">
        <v>648</v>
      </c>
      <c r="M163" s="12" t="s">
        <v>568</v>
      </c>
      <c r="N163" s="12" t="s">
        <v>75</v>
      </c>
      <c r="O163" s="12"/>
      <c r="P163" s="12"/>
      <c r="Q163" s="12"/>
      <c r="R163" s="12"/>
    </row>
    <row r="164" customFormat="false" ht="15" hidden="false" customHeight="false" outlineLevel="0" collapsed="false">
      <c r="A164" s="12" t="s">
        <v>690</v>
      </c>
      <c r="B164" s="12" t="s">
        <v>310</v>
      </c>
      <c r="C164" s="12" t="s">
        <v>373</v>
      </c>
      <c r="D164" s="12" t="s">
        <v>149</v>
      </c>
      <c r="E164" s="12" t="s">
        <v>102</v>
      </c>
      <c r="F164" s="12" t="s">
        <v>160</v>
      </c>
      <c r="G164" s="12" t="s">
        <v>104</v>
      </c>
      <c r="H164" s="12" t="s">
        <v>458</v>
      </c>
      <c r="I164" s="12" t="s">
        <v>613</v>
      </c>
      <c r="J164" s="12" t="s">
        <v>618</v>
      </c>
      <c r="K164" s="12" t="s">
        <v>568</v>
      </c>
      <c r="L164" s="12" t="s">
        <v>691</v>
      </c>
      <c r="M164" s="12"/>
      <c r="N164" s="12" t="s">
        <v>328</v>
      </c>
      <c r="O164" s="12"/>
      <c r="P164" s="12"/>
      <c r="Q164" s="12"/>
      <c r="R164" s="12"/>
    </row>
    <row r="165" customFormat="false" ht="15" hidden="false" customHeight="false" outlineLevel="0" collapsed="false">
      <c r="A165" s="12" t="s">
        <v>692</v>
      </c>
      <c r="B165" s="12" t="s">
        <v>370</v>
      </c>
      <c r="C165" s="12" t="s">
        <v>693</v>
      </c>
      <c r="D165" s="12" t="s">
        <v>149</v>
      </c>
      <c r="E165" s="12" t="s">
        <v>91</v>
      </c>
      <c r="F165" s="12" t="s">
        <v>160</v>
      </c>
      <c r="G165" s="12" t="s">
        <v>104</v>
      </c>
      <c r="H165" s="12" t="s">
        <v>694</v>
      </c>
      <c r="I165" s="12" t="s">
        <v>659</v>
      </c>
      <c r="J165" s="12"/>
      <c r="K165" s="12"/>
      <c r="L165" s="12" t="s">
        <v>695</v>
      </c>
      <c r="M165" s="12"/>
      <c r="N165" s="12" t="s">
        <v>438</v>
      </c>
      <c r="O165" s="12"/>
      <c r="P165" s="12"/>
      <c r="Q165" s="12"/>
      <c r="R165" s="12" t="s">
        <v>226</v>
      </c>
    </row>
    <row r="166" customFormat="false" ht="15" hidden="false" customHeight="false" outlineLevel="0" collapsed="false">
      <c r="A166" s="12" t="s">
        <v>696</v>
      </c>
      <c r="B166" s="12" t="s">
        <v>618</v>
      </c>
      <c r="C166" s="12" t="s">
        <v>148</v>
      </c>
      <c r="D166" s="12" t="s">
        <v>65</v>
      </c>
      <c r="E166" s="12" t="s">
        <v>91</v>
      </c>
      <c r="F166" s="12" t="s">
        <v>121</v>
      </c>
      <c r="G166" s="12" t="s">
        <v>104</v>
      </c>
      <c r="H166" s="12" t="s">
        <v>697</v>
      </c>
      <c r="I166" s="12" t="s">
        <v>679</v>
      </c>
      <c r="J166" s="12"/>
      <c r="K166" s="12"/>
      <c r="L166" s="12" t="s">
        <v>680</v>
      </c>
      <c r="M166" s="12"/>
      <c r="N166" s="12" t="s">
        <v>328</v>
      </c>
      <c r="O166" s="12"/>
      <c r="P166" s="12"/>
      <c r="Q166" s="12"/>
      <c r="R166" s="12"/>
    </row>
    <row r="167" customFormat="false" ht="15" hidden="false" customHeight="false" outlineLevel="0" collapsed="false">
      <c r="A167" s="12" t="s">
        <v>698</v>
      </c>
      <c r="B167" s="12" t="s">
        <v>618</v>
      </c>
      <c r="C167" s="12" t="s">
        <v>174</v>
      </c>
      <c r="D167" s="12" t="s">
        <v>90</v>
      </c>
      <c r="E167" s="12" t="s">
        <v>102</v>
      </c>
      <c r="F167" s="12" t="s">
        <v>121</v>
      </c>
      <c r="G167" s="12" t="s">
        <v>68</v>
      </c>
      <c r="H167" s="12" t="s">
        <v>699</v>
      </c>
      <c r="I167" s="12" t="s">
        <v>700</v>
      </c>
      <c r="J167" s="12"/>
      <c r="K167" s="12"/>
      <c r="L167" s="12" t="s">
        <v>701</v>
      </c>
      <c r="M167" s="12"/>
      <c r="N167" s="12" t="s">
        <v>328</v>
      </c>
      <c r="O167" s="12"/>
      <c r="P167" s="12"/>
      <c r="Q167" s="12"/>
      <c r="R167" s="12" t="s">
        <v>134</v>
      </c>
    </row>
    <row r="168" customFormat="false" ht="15" hidden="false" customHeight="false" outlineLevel="0" collapsed="false">
      <c r="A168" s="12" t="s">
        <v>702</v>
      </c>
      <c r="B168" s="12" t="s">
        <v>618</v>
      </c>
      <c r="C168" s="12" t="s">
        <v>620</v>
      </c>
      <c r="D168" s="12" t="s">
        <v>90</v>
      </c>
      <c r="E168" s="12" t="s">
        <v>66</v>
      </c>
      <c r="F168" s="12" t="s">
        <v>67</v>
      </c>
      <c r="G168" s="12" t="s">
        <v>104</v>
      </c>
      <c r="H168" s="12" t="s">
        <v>703</v>
      </c>
      <c r="I168" s="12" t="s">
        <v>672</v>
      </c>
      <c r="J168" s="12"/>
      <c r="K168" s="12"/>
      <c r="L168" s="12" t="s">
        <v>704</v>
      </c>
      <c r="M168" s="12"/>
      <c r="N168" s="12" t="s">
        <v>328</v>
      </c>
      <c r="O168" s="12"/>
      <c r="P168" s="12"/>
      <c r="Q168" s="12"/>
      <c r="R168" s="12" t="s">
        <v>168</v>
      </c>
    </row>
  </sheetData>
  <autoFilter ref="A5:R1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24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3" min="12" style="0" width="26"/>
    <col collapsed="false" customWidth="true" hidden="false" outlineLevel="0" max="14" min="14" style="0" width="14"/>
    <col collapsed="false" customWidth="true" hidden="false" outlineLevel="0" max="15" min="15" style="0" width="23"/>
    <col collapsed="false" customWidth="true" hidden="false" outlineLevel="0" max="16" min="16" style="0" width="26"/>
    <col collapsed="false" customWidth="true" hidden="false" outlineLevel="0" max="17" min="17" style="0" width="21"/>
    <col collapsed="false" customWidth="true" hidden="false" outlineLevel="0" max="19" min="18" style="0" width="30"/>
    <col collapsed="false" customWidth="true" hidden="false" outlineLevel="0" max="21" min="20" style="0" width="23"/>
    <col collapsed="false" customWidth="true" hidden="false" outlineLevel="0" max="22" min="22" style="0" width="22"/>
    <col collapsed="false" customWidth="true" hidden="false" outlineLevel="0" max="23" min="23" style="0" width="13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7" min="26" style="0" width="21"/>
    <col collapsed="false" customWidth="true" hidden="false" outlineLevel="0" max="28" min="28" style="0" width="13"/>
    <col collapsed="false" customWidth="true" hidden="false" outlineLevel="0" max="29" min="29" style="0" width="11"/>
    <col collapsed="false" customWidth="true" hidden="false" outlineLevel="0" max="31" min="30" style="0" width="20"/>
    <col collapsed="false" customWidth="true" hidden="false" outlineLevel="0" max="32" min="32" style="0" width="17"/>
    <col collapsed="false" customWidth="true" hidden="false" outlineLevel="0" max="33" min="33" style="0" width="14"/>
    <col collapsed="false" customWidth="true" hidden="false" outlineLevel="0" max="34" min="34" style="0" width="19"/>
    <col collapsed="false" customWidth="true" hidden="false" outlineLevel="0" max="35" min="35" style="0" width="24"/>
    <col collapsed="false" customWidth="true" hidden="false" outlineLevel="0" max="36" min="36" style="0" width="18"/>
    <col collapsed="false" customWidth="true" hidden="false" outlineLevel="0" max="37" min="37" style="0" width="15"/>
    <col collapsed="false" customWidth="true" hidden="false" outlineLevel="0" max="38" min="38" style="0" width="11"/>
    <col collapsed="false" customWidth="true" hidden="false" outlineLevel="0" max="39" min="39" style="0" width="14"/>
    <col collapsed="false" customWidth="true" hidden="false" outlineLevel="0" max="40" min="40" style="0" width="15"/>
    <col collapsed="false" customWidth="true" hidden="false" outlineLevel="0" max="41" min="41" style="0" width="21"/>
    <col collapsed="false" customWidth="true" hidden="false" outlineLevel="0" max="42" min="42" style="0" width="18"/>
  </cols>
  <sheetData>
    <row r="1" customFormat="false" ht="23.85" hidden="false" customHeight="false" outlineLevel="0" collapsed="false">
      <c r="A1" s="11" t="s">
        <v>705</v>
      </c>
      <c r="B1" s="11" t="s">
        <v>706</v>
      </c>
      <c r="C1" s="11" t="s">
        <v>707</v>
      </c>
      <c r="D1" s="11" t="s">
        <v>708</v>
      </c>
      <c r="E1" s="11" t="s">
        <v>48</v>
      </c>
      <c r="F1" s="11" t="s">
        <v>709</v>
      </c>
      <c r="G1" s="11" t="s">
        <v>50</v>
      </c>
      <c r="H1" s="11" t="s">
        <v>710</v>
      </c>
      <c r="I1" s="11" t="s">
        <v>711</v>
      </c>
      <c r="J1" s="11" t="s">
        <v>712</v>
      </c>
      <c r="K1" s="11" t="s">
        <v>713</v>
      </c>
      <c r="L1" s="11" t="s">
        <v>714</v>
      </c>
      <c r="M1" s="11" t="s">
        <v>715</v>
      </c>
      <c r="N1" s="11" t="s">
        <v>716</v>
      </c>
      <c r="O1" s="11" t="s">
        <v>717</v>
      </c>
      <c r="P1" s="11" t="s">
        <v>718</v>
      </c>
      <c r="Q1" s="11" t="s">
        <v>719</v>
      </c>
      <c r="R1" s="11" t="s">
        <v>720</v>
      </c>
      <c r="S1" s="11" t="s">
        <v>721</v>
      </c>
      <c r="T1" s="11" t="s">
        <v>722</v>
      </c>
      <c r="U1" s="11" t="s">
        <v>723</v>
      </c>
      <c r="V1" s="11" t="s">
        <v>724</v>
      </c>
      <c r="W1" s="13" t="s">
        <v>725</v>
      </c>
      <c r="X1" s="13" t="s">
        <v>726</v>
      </c>
      <c r="Y1" s="13" t="s">
        <v>727</v>
      </c>
      <c r="Z1" s="13" t="s">
        <v>728</v>
      </c>
      <c r="AA1" s="13" t="s">
        <v>729</v>
      </c>
      <c r="AB1" s="13" t="s">
        <v>730</v>
      </c>
      <c r="AC1" s="13" t="s">
        <v>731</v>
      </c>
      <c r="AD1" s="13" t="s">
        <v>732</v>
      </c>
      <c r="AE1" s="13" t="s">
        <v>733</v>
      </c>
      <c r="AF1" s="13" t="s">
        <v>734</v>
      </c>
      <c r="AG1" s="13" t="s">
        <v>735</v>
      </c>
      <c r="AH1" s="13" t="s">
        <v>736</v>
      </c>
      <c r="AI1" s="13" t="s">
        <v>737</v>
      </c>
      <c r="AJ1" s="13" t="s">
        <v>738</v>
      </c>
      <c r="AK1" s="13" t="s">
        <v>739</v>
      </c>
      <c r="AL1" s="13" t="s">
        <v>35</v>
      </c>
      <c r="AM1" s="13" t="s">
        <v>740</v>
      </c>
      <c r="AN1" s="13" t="s">
        <v>741</v>
      </c>
      <c r="AO1" s="13" t="s">
        <v>742</v>
      </c>
      <c r="AP1" s="13" t="s">
        <v>743</v>
      </c>
      <c r="AR1" s="10" t="s">
        <v>744</v>
      </c>
    </row>
    <row r="2" customFormat="false" ht="15" hidden="false" customHeight="false" outlineLevel="0" collapsed="false">
      <c r="A2" s="14" t="s">
        <v>62</v>
      </c>
      <c r="B2" s="15" t="n">
        <v>46025</v>
      </c>
      <c r="C2" s="14" t="s">
        <v>64</v>
      </c>
      <c r="D2" s="14" t="s">
        <v>65</v>
      </c>
      <c r="E2" s="14" t="s">
        <v>66</v>
      </c>
      <c r="F2" s="14" t="s">
        <v>67</v>
      </c>
      <c r="G2" s="14" t="n">
        <v>2</v>
      </c>
      <c r="H2" s="16" t="n">
        <v>794000</v>
      </c>
      <c r="I2" s="15" t="n">
        <v>46047</v>
      </c>
      <c r="J2" s="15" t="n">
        <v>46031</v>
      </c>
      <c r="K2" s="15" t="n">
        <v>46037</v>
      </c>
      <c r="L2" s="15" t="n">
        <v>46052</v>
      </c>
      <c r="M2" s="15" t="n">
        <v>46042</v>
      </c>
      <c r="N2" s="14" t="s">
        <v>75</v>
      </c>
      <c r="O2" s="14"/>
      <c r="P2" s="14"/>
      <c r="Q2" s="14"/>
      <c r="R2" s="14"/>
      <c r="S2" s="14" t="s">
        <v>745</v>
      </c>
      <c r="T2" s="14" t="n">
        <v>1</v>
      </c>
      <c r="U2" s="14" t="n">
        <v>1</v>
      </c>
      <c r="V2" s="14" t="n">
        <v>1</v>
      </c>
      <c r="W2" s="17" t="n">
        <f aca="false">DATE(YEAR(B2),MONTH(B2),1)</f>
        <v>46023</v>
      </c>
      <c r="X2" s="14" t="n">
        <f aca="false">IF(AND(N2&lt;&gt;"Cancelled",I2&lt;=AsOf),1,0)</f>
        <v>1</v>
      </c>
      <c r="Y2" s="14" t="n">
        <f aca="false">IF(AND(N2&lt;&gt;"Cancelled",OR(ISNUMBER(K2),N2="Completed")),1,0)</f>
        <v>1</v>
      </c>
      <c r="Z2" s="14" t="n">
        <f aca="false">IF(AND(Y2=1,U2=1,ISNUMBER(K2)),K2-I2,"")</f>
        <v>-10</v>
      </c>
      <c r="AA2" s="14" t="str">
        <f aca="false">IF(Z2="","",IF(Z2&lt;0,"Early",IF(Z2=0,"On Time","Late")))</f>
        <v>Early</v>
      </c>
      <c r="AB2" s="14" t="n">
        <f aca="false">IF(AND(N2&lt;&gt;"Cancelled",L2&lt;=AsOf),1,0)</f>
        <v>1</v>
      </c>
      <c r="AC2" s="14" t="n">
        <f aca="false">IF(AND(N2&lt;&gt;"Cancelled",OR(ISNUMBER(M2),N2="Completed")),1,0)</f>
        <v>1</v>
      </c>
      <c r="AD2" s="14" t="n">
        <f aca="false">IF(AND(AC2=1,V2=1,ISNUMBER(M2)),M2-L2,"")</f>
        <v>-10</v>
      </c>
      <c r="AE2" s="14" t="str">
        <f aca="false">IF(AD2="","",IF(AD2&lt;0,"Early",IF(AD2=0,"On Time","Late")))</f>
        <v>Early</v>
      </c>
      <c r="AF2" s="14" t="n">
        <f aca="false">IF(AND(T2=1,ISNUMBER(J2),N2&lt;&gt;"Cancelled"),J2-B2,"")</f>
        <v>6</v>
      </c>
      <c r="AG2" s="14" t="n">
        <f aca="false">IF(AND(AF2&lt;&gt;"",Z2&lt;&gt;""),K2-J2,"")</f>
        <v>6</v>
      </c>
      <c r="AH2" s="14" t="n">
        <f aca="false">IF(AND(Z2&lt;&gt;"",AD2&lt;&gt;""),M2-K2,"")</f>
        <v>5</v>
      </c>
      <c r="AI2" s="14" t="n">
        <f aca="false">IF(Z2&lt;&gt;"",K2-B2,"")</f>
        <v>12</v>
      </c>
      <c r="AJ2" s="14" t="n">
        <f aca="false">IF(AND(N2="Completed",AD2&lt;&gt;""),M2-B2,"")</f>
        <v>17</v>
      </c>
      <c r="AK2" s="14" t="str">
        <f aca="false">IF(N2="Cancelled","Cancelled",IF(N2="Completed","Completed",IF(Y2=1,"Awaiting Installation",IF(ISNUMBER(J2),"In Transit","In Production"))))</f>
        <v>Completed</v>
      </c>
      <c r="AL2" s="18" t="n">
        <f aca="false">IF(AND(N2="Pending",OR(AND(Y2=0,I2&lt;AsOf),AND(Y2=1,L2&lt;AsOf))),1,0)</f>
        <v>0</v>
      </c>
      <c r="AM2" s="14" t="str">
        <f aca="false">IF(AL2=1,IF(Y2=0,AsOf-I2,AsOf-L2),"")</f>
        <v/>
      </c>
      <c r="AN2" s="14" t="str">
        <f aca="false">IF(AL2=1,IF(Y2=0,"Delivery","Installation"),"")</f>
        <v/>
      </c>
      <c r="AO2" s="14" t="n">
        <f aca="false">IF(AND(OR(fCat="All",F2=fCat),OR(fCust="All",D2=fCust),OR(fReg="All",E2=fReg)),1,0)</f>
        <v>1</v>
      </c>
      <c r="AP2" s="14" t="n">
        <f aca="false">IF(AND(AL2=1,AO2=1),AM2+ROW()/100000,0)</f>
        <v>0</v>
      </c>
    </row>
    <row r="3" customFormat="false" ht="15" hidden="false" customHeight="false" outlineLevel="0" collapsed="false">
      <c r="A3" s="14" t="s">
        <v>76</v>
      </c>
      <c r="B3" s="15" t="n">
        <v>46030</v>
      </c>
      <c r="C3" s="14" t="s">
        <v>78</v>
      </c>
      <c r="D3" s="14" t="s">
        <v>65</v>
      </c>
      <c r="E3" s="14" t="s">
        <v>66</v>
      </c>
      <c r="F3" s="14" t="s">
        <v>67</v>
      </c>
      <c r="G3" s="14" t="n">
        <v>2</v>
      </c>
      <c r="H3" s="16" t="n">
        <v>1090000</v>
      </c>
      <c r="I3" s="15" t="n">
        <v>46052</v>
      </c>
      <c r="J3" s="15" t="n">
        <v>46056</v>
      </c>
      <c r="K3" s="15" t="n">
        <v>46071</v>
      </c>
      <c r="L3" s="15" t="n">
        <v>46057</v>
      </c>
      <c r="M3" s="15" t="n">
        <v>46076</v>
      </c>
      <c r="N3" s="14" t="s">
        <v>75</v>
      </c>
      <c r="O3" s="14" t="s">
        <v>84</v>
      </c>
      <c r="P3" s="14" t="s">
        <v>85</v>
      </c>
      <c r="Q3" s="14"/>
      <c r="R3" s="14" t="s">
        <v>86</v>
      </c>
      <c r="S3" s="14" t="s">
        <v>745</v>
      </c>
      <c r="T3" s="14" t="n">
        <v>1</v>
      </c>
      <c r="U3" s="14" t="n">
        <v>1</v>
      </c>
      <c r="V3" s="14" t="n">
        <v>1</v>
      </c>
      <c r="W3" s="17" t="n">
        <f aca="false">DATE(YEAR(B3),MONTH(B3),1)</f>
        <v>46023</v>
      </c>
      <c r="X3" s="14" t="n">
        <f aca="false">IF(AND(N3&lt;&gt;"Cancelled",I3&lt;=AsOf),1,0)</f>
        <v>1</v>
      </c>
      <c r="Y3" s="14" t="n">
        <f aca="false">IF(AND(N3&lt;&gt;"Cancelled",OR(ISNUMBER(K3),N3="Completed")),1,0)</f>
        <v>1</v>
      </c>
      <c r="Z3" s="14" t="n">
        <f aca="false">IF(AND(Y3=1,U3=1,ISNUMBER(K3)),K3-I3,"")</f>
        <v>19</v>
      </c>
      <c r="AA3" s="14" t="str">
        <f aca="false">IF(Z3="","",IF(Z3&lt;0,"Early",IF(Z3=0,"On Time","Late")))</f>
        <v>Late</v>
      </c>
      <c r="AB3" s="14" t="n">
        <f aca="false">IF(AND(N3&lt;&gt;"Cancelled",L3&lt;=AsOf),1,0)</f>
        <v>1</v>
      </c>
      <c r="AC3" s="14" t="n">
        <f aca="false">IF(AND(N3&lt;&gt;"Cancelled",OR(ISNUMBER(M3),N3="Completed")),1,0)</f>
        <v>1</v>
      </c>
      <c r="AD3" s="14" t="n">
        <f aca="false">IF(AND(AC3=1,V3=1,ISNUMBER(M3)),M3-L3,"")</f>
        <v>19</v>
      </c>
      <c r="AE3" s="14" t="str">
        <f aca="false">IF(AD3="","",IF(AD3&lt;0,"Early",IF(AD3=0,"On Time","Late")))</f>
        <v>Late</v>
      </c>
      <c r="AF3" s="14" t="n">
        <f aca="false">IF(AND(T3=1,ISNUMBER(J3),N3&lt;&gt;"Cancelled"),J3-B3,"")</f>
        <v>26</v>
      </c>
      <c r="AG3" s="14" t="n">
        <f aca="false">IF(AND(AF3&lt;&gt;"",Z3&lt;&gt;""),K3-J3,"")</f>
        <v>15</v>
      </c>
      <c r="AH3" s="14" t="n">
        <f aca="false">IF(AND(Z3&lt;&gt;"",AD3&lt;&gt;""),M3-K3,"")</f>
        <v>5</v>
      </c>
      <c r="AI3" s="14" t="n">
        <f aca="false">IF(Z3&lt;&gt;"",K3-B3,"")</f>
        <v>41</v>
      </c>
      <c r="AJ3" s="14" t="n">
        <f aca="false">IF(AND(N3="Completed",AD3&lt;&gt;""),M3-B3,"")</f>
        <v>46</v>
      </c>
      <c r="AK3" s="14" t="str">
        <f aca="false">IF(N3="Cancelled","Cancelled",IF(N3="Completed","Completed",IF(Y3=1,"Awaiting Installation",IF(ISNUMBER(J3),"In Transit","In Production"))))</f>
        <v>Completed</v>
      </c>
      <c r="AL3" s="18" t="n">
        <f aca="false">IF(AND(N3="Pending",OR(AND(Y3=0,I3&lt;AsOf),AND(Y3=1,L3&lt;AsOf))),1,0)</f>
        <v>0</v>
      </c>
      <c r="AM3" s="14" t="str">
        <f aca="false">IF(AL3=1,IF(Y3=0,AsOf-I3,AsOf-L3),"")</f>
        <v/>
      </c>
      <c r="AN3" s="14" t="str">
        <f aca="false">IF(AL3=1,IF(Y3=0,"Delivery","Installation"),"")</f>
        <v/>
      </c>
      <c r="AO3" s="14" t="n">
        <f aca="false">IF(AND(OR(fCat="All",F3=fCat),OR(fCust="All",D3=fCust),OR(fReg="All",E3=fReg)),1,0)</f>
        <v>1</v>
      </c>
      <c r="AP3" s="14" t="n">
        <f aca="false">IF(AND(AL3=1,AO3=1),AM3+ROW()/100000,0)</f>
        <v>0</v>
      </c>
    </row>
    <row r="4" customFormat="false" ht="15" hidden="false" customHeight="false" outlineLevel="0" collapsed="false">
      <c r="A4" s="14" t="s">
        <v>87</v>
      </c>
      <c r="B4" s="15" t="n">
        <v>46032</v>
      </c>
      <c r="C4" s="14" t="s">
        <v>89</v>
      </c>
      <c r="D4" s="14" t="s">
        <v>90</v>
      </c>
      <c r="E4" s="14" t="s">
        <v>91</v>
      </c>
      <c r="F4" s="14" t="s">
        <v>67</v>
      </c>
      <c r="G4" s="14" t="n">
        <v>4</v>
      </c>
      <c r="H4" s="16" t="n">
        <v>2232000</v>
      </c>
      <c r="I4" s="15" t="n">
        <v>46050</v>
      </c>
      <c r="J4" s="15" t="n">
        <v>46053</v>
      </c>
      <c r="K4" s="15" t="n">
        <v>46055</v>
      </c>
      <c r="L4" s="15" t="n">
        <v>46055</v>
      </c>
      <c r="M4" s="15" t="n">
        <v>46059</v>
      </c>
      <c r="N4" s="14" t="s">
        <v>75</v>
      </c>
      <c r="O4" s="14" t="s">
        <v>84</v>
      </c>
      <c r="P4" s="14"/>
      <c r="Q4" s="14"/>
      <c r="R4" s="14" t="s">
        <v>98</v>
      </c>
      <c r="S4" s="14" t="s">
        <v>745</v>
      </c>
      <c r="T4" s="14" t="n">
        <v>1</v>
      </c>
      <c r="U4" s="14" t="n">
        <v>1</v>
      </c>
      <c r="V4" s="14" t="n">
        <v>1</v>
      </c>
      <c r="W4" s="17" t="n">
        <f aca="false">DATE(YEAR(B4),MONTH(B4),1)</f>
        <v>46023</v>
      </c>
      <c r="X4" s="14" t="n">
        <f aca="false">IF(AND(N4&lt;&gt;"Cancelled",I4&lt;=AsOf),1,0)</f>
        <v>1</v>
      </c>
      <c r="Y4" s="14" t="n">
        <f aca="false">IF(AND(N4&lt;&gt;"Cancelled",OR(ISNUMBER(K4),N4="Completed")),1,0)</f>
        <v>1</v>
      </c>
      <c r="Z4" s="14" t="n">
        <f aca="false">IF(AND(Y4=1,U4=1,ISNUMBER(K4)),K4-I4,"")</f>
        <v>5</v>
      </c>
      <c r="AA4" s="14" t="str">
        <f aca="false">IF(Z4="","",IF(Z4&lt;0,"Early",IF(Z4=0,"On Time","Late")))</f>
        <v>Late</v>
      </c>
      <c r="AB4" s="14" t="n">
        <f aca="false">IF(AND(N4&lt;&gt;"Cancelled",L4&lt;=AsOf),1,0)</f>
        <v>1</v>
      </c>
      <c r="AC4" s="14" t="n">
        <f aca="false">IF(AND(N4&lt;&gt;"Cancelled",OR(ISNUMBER(M4),N4="Completed")),1,0)</f>
        <v>1</v>
      </c>
      <c r="AD4" s="14" t="n">
        <f aca="false">IF(AND(AC4=1,V4=1,ISNUMBER(M4)),M4-L4,"")</f>
        <v>4</v>
      </c>
      <c r="AE4" s="14" t="str">
        <f aca="false">IF(AD4="","",IF(AD4&lt;0,"Early",IF(AD4=0,"On Time","Late")))</f>
        <v>Late</v>
      </c>
      <c r="AF4" s="14" t="n">
        <f aca="false">IF(AND(T4=1,ISNUMBER(J4),N4&lt;&gt;"Cancelled"),J4-B4,"")</f>
        <v>21</v>
      </c>
      <c r="AG4" s="14" t="n">
        <f aca="false">IF(AND(AF4&lt;&gt;"",Z4&lt;&gt;""),K4-J4,"")</f>
        <v>2</v>
      </c>
      <c r="AH4" s="14" t="n">
        <f aca="false">IF(AND(Z4&lt;&gt;"",AD4&lt;&gt;""),M4-K4,"")</f>
        <v>4</v>
      </c>
      <c r="AI4" s="14" t="n">
        <f aca="false">IF(Z4&lt;&gt;"",K4-B4,"")</f>
        <v>23</v>
      </c>
      <c r="AJ4" s="14" t="n">
        <f aca="false">IF(AND(N4="Completed",AD4&lt;&gt;""),M4-B4,"")</f>
        <v>27</v>
      </c>
      <c r="AK4" s="14" t="str">
        <f aca="false">IF(N4="Cancelled","Cancelled",IF(N4="Completed","Completed",IF(Y4=1,"Awaiting Installation",IF(ISNUMBER(J4),"In Transit","In Production"))))</f>
        <v>Completed</v>
      </c>
      <c r="AL4" s="18" t="n">
        <f aca="false">IF(AND(N4="Pending",OR(AND(Y4=0,I4&lt;AsOf),AND(Y4=1,L4&lt;AsOf))),1,0)</f>
        <v>0</v>
      </c>
      <c r="AM4" s="14" t="str">
        <f aca="false">IF(AL4=1,IF(Y4=0,AsOf-I4,AsOf-L4),"")</f>
        <v/>
      </c>
      <c r="AN4" s="14" t="str">
        <f aca="false">IF(AL4=1,IF(Y4=0,"Delivery","Installation"),"")</f>
        <v/>
      </c>
      <c r="AO4" s="14" t="n">
        <f aca="false">IF(AND(OR(fCat="All",F4=fCat),OR(fCust="All",D4=fCust),OR(fReg="All",E4=fReg)),1,0)</f>
        <v>1</v>
      </c>
      <c r="AP4" s="14" t="n">
        <f aca="false">IF(AND(AL4=1,AO4=1),AM4+ROW()/100000,0)</f>
        <v>0</v>
      </c>
    </row>
    <row r="5" customFormat="false" ht="15" hidden="false" customHeight="false" outlineLevel="0" collapsed="false">
      <c r="A5" s="14" t="s">
        <v>99</v>
      </c>
      <c r="B5" s="15" t="n">
        <v>46034</v>
      </c>
      <c r="C5" s="14" t="s">
        <v>101</v>
      </c>
      <c r="D5" s="14" t="s">
        <v>90</v>
      </c>
      <c r="E5" s="14" t="s">
        <v>102</v>
      </c>
      <c r="F5" s="14" t="s">
        <v>103</v>
      </c>
      <c r="G5" s="14" t="n">
        <v>1</v>
      </c>
      <c r="H5" s="16" t="n">
        <v>783000</v>
      </c>
      <c r="I5" s="15" t="n">
        <v>46057</v>
      </c>
      <c r="J5" s="15" t="n">
        <v>46054</v>
      </c>
      <c r="K5" s="15" t="n">
        <v>46058</v>
      </c>
      <c r="L5" s="15" t="n">
        <v>46062</v>
      </c>
      <c r="M5" s="15" t="n">
        <v>46066</v>
      </c>
      <c r="N5" s="14" t="s">
        <v>75</v>
      </c>
      <c r="O5" s="14" t="s">
        <v>110</v>
      </c>
      <c r="P5" s="14" t="s">
        <v>111</v>
      </c>
      <c r="Q5" s="14"/>
      <c r="R5" s="14" t="s">
        <v>98</v>
      </c>
      <c r="S5" s="14" t="s">
        <v>745</v>
      </c>
      <c r="T5" s="14" t="n">
        <v>1</v>
      </c>
      <c r="U5" s="14" t="n">
        <v>1</v>
      </c>
      <c r="V5" s="14" t="n">
        <v>1</v>
      </c>
      <c r="W5" s="17" t="n">
        <f aca="false">DATE(YEAR(B5),MONTH(B5),1)</f>
        <v>46023</v>
      </c>
      <c r="X5" s="14" t="n">
        <f aca="false">IF(AND(N5&lt;&gt;"Cancelled",I5&lt;=AsOf),1,0)</f>
        <v>1</v>
      </c>
      <c r="Y5" s="14" t="n">
        <f aca="false">IF(AND(N5&lt;&gt;"Cancelled",OR(ISNUMBER(K5),N5="Completed")),1,0)</f>
        <v>1</v>
      </c>
      <c r="Z5" s="14" t="n">
        <f aca="false">IF(AND(Y5=1,U5=1,ISNUMBER(K5)),K5-I5,"")</f>
        <v>1</v>
      </c>
      <c r="AA5" s="14" t="str">
        <f aca="false">IF(Z5="","",IF(Z5&lt;0,"Early",IF(Z5=0,"On Time","Late")))</f>
        <v>Late</v>
      </c>
      <c r="AB5" s="14" t="n">
        <f aca="false">IF(AND(N5&lt;&gt;"Cancelled",L5&lt;=AsOf),1,0)</f>
        <v>1</v>
      </c>
      <c r="AC5" s="14" t="n">
        <f aca="false">IF(AND(N5&lt;&gt;"Cancelled",OR(ISNUMBER(M5),N5="Completed")),1,0)</f>
        <v>1</v>
      </c>
      <c r="AD5" s="14" t="n">
        <f aca="false">IF(AND(AC5=1,V5=1,ISNUMBER(M5)),M5-L5,"")</f>
        <v>4</v>
      </c>
      <c r="AE5" s="14" t="str">
        <f aca="false">IF(AD5="","",IF(AD5&lt;0,"Early",IF(AD5=0,"On Time","Late")))</f>
        <v>Late</v>
      </c>
      <c r="AF5" s="14" t="n">
        <f aca="false">IF(AND(T5=1,ISNUMBER(J5),N5&lt;&gt;"Cancelled"),J5-B5,"")</f>
        <v>20</v>
      </c>
      <c r="AG5" s="14" t="n">
        <f aca="false">IF(AND(AF5&lt;&gt;"",Z5&lt;&gt;""),K5-J5,"")</f>
        <v>4</v>
      </c>
      <c r="AH5" s="14" t="n">
        <f aca="false">IF(AND(Z5&lt;&gt;"",AD5&lt;&gt;""),M5-K5,"")</f>
        <v>8</v>
      </c>
      <c r="AI5" s="14" t="n">
        <f aca="false">IF(Z5&lt;&gt;"",K5-B5,"")</f>
        <v>24</v>
      </c>
      <c r="AJ5" s="14" t="n">
        <f aca="false">IF(AND(N5="Completed",AD5&lt;&gt;""),M5-B5,"")</f>
        <v>32</v>
      </c>
      <c r="AK5" s="14" t="str">
        <f aca="false">IF(N5="Cancelled","Cancelled",IF(N5="Completed","Completed",IF(Y5=1,"Awaiting Installation",IF(ISNUMBER(J5),"In Transit","In Production"))))</f>
        <v>Completed</v>
      </c>
      <c r="AL5" s="18" t="n">
        <f aca="false">IF(AND(N5="Pending",OR(AND(Y5=0,I5&lt;AsOf),AND(Y5=1,L5&lt;AsOf))),1,0)</f>
        <v>0</v>
      </c>
      <c r="AM5" s="14" t="str">
        <f aca="false">IF(AL5=1,IF(Y5=0,AsOf-I5,AsOf-L5),"")</f>
        <v/>
      </c>
      <c r="AN5" s="14" t="str">
        <f aca="false">IF(AL5=1,IF(Y5=0,"Delivery","Installation"),"")</f>
        <v/>
      </c>
      <c r="AO5" s="14" t="n">
        <f aca="false">IF(AND(OR(fCat="All",F5=fCat),OR(fCust="All",D5=fCust),OR(fReg="All",E5=fReg)),1,0)</f>
        <v>1</v>
      </c>
      <c r="AP5" s="14" t="n">
        <f aca="false">IF(AND(AL5=1,AO5=1),AM5+ROW()/100000,0)</f>
        <v>0</v>
      </c>
    </row>
    <row r="6" customFormat="false" ht="15" hidden="false" customHeight="false" outlineLevel="0" collapsed="false">
      <c r="A6" s="14" t="s">
        <v>112</v>
      </c>
      <c r="B6" s="15" t="n">
        <v>46037</v>
      </c>
      <c r="C6" s="14" t="s">
        <v>113</v>
      </c>
      <c r="D6" s="14" t="s">
        <v>65</v>
      </c>
      <c r="E6" s="14" t="s">
        <v>66</v>
      </c>
      <c r="F6" s="14" t="s">
        <v>67</v>
      </c>
      <c r="G6" s="14" t="n">
        <v>3</v>
      </c>
      <c r="H6" s="16" t="n">
        <v>1998000</v>
      </c>
      <c r="I6" s="15" t="n">
        <v>46059</v>
      </c>
      <c r="J6" s="15" t="n">
        <v>46055</v>
      </c>
      <c r="K6" s="15" t="n">
        <v>46064</v>
      </c>
      <c r="L6" s="15" t="n">
        <v>46064</v>
      </c>
      <c r="M6" s="15" t="n">
        <v>46081</v>
      </c>
      <c r="N6" s="14" t="s">
        <v>75</v>
      </c>
      <c r="O6" s="14" t="s">
        <v>110</v>
      </c>
      <c r="P6" s="14"/>
      <c r="Q6" s="14"/>
      <c r="R6" s="14" t="s">
        <v>98</v>
      </c>
      <c r="S6" s="14" t="s">
        <v>745</v>
      </c>
      <c r="T6" s="14" t="n">
        <v>1</v>
      </c>
      <c r="U6" s="14" t="n">
        <v>1</v>
      </c>
      <c r="V6" s="14" t="n">
        <v>1</v>
      </c>
      <c r="W6" s="17" t="n">
        <f aca="false">DATE(YEAR(B6),MONTH(B6),1)</f>
        <v>46023</v>
      </c>
      <c r="X6" s="14" t="n">
        <f aca="false">IF(AND(N6&lt;&gt;"Cancelled",I6&lt;=AsOf),1,0)</f>
        <v>1</v>
      </c>
      <c r="Y6" s="14" t="n">
        <f aca="false">IF(AND(N6&lt;&gt;"Cancelled",OR(ISNUMBER(K6),N6="Completed")),1,0)</f>
        <v>1</v>
      </c>
      <c r="Z6" s="14" t="n">
        <f aca="false">IF(AND(Y6=1,U6=1,ISNUMBER(K6)),K6-I6,"")</f>
        <v>5</v>
      </c>
      <c r="AA6" s="14" t="str">
        <f aca="false">IF(Z6="","",IF(Z6&lt;0,"Early",IF(Z6=0,"On Time","Late")))</f>
        <v>Late</v>
      </c>
      <c r="AB6" s="14" t="n">
        <f aca="false">IF(AND(N6&lt;&gt;"Cancelled",L6&lt;=AsOf),1,0)</f>
        <v>1</v>
      </c>
      <c r="AC6" s="14" t="n">
        <f aca="false">IF(AND(N6&lt;&gt;"Cancelled",OR(ISNUMBER(M6),N6="Completed")),1,0)</f>
        <v>1</v>
      </c>
      <c r="AD6" s="14" t="n">
        <f aca="false">IF(AND(AC6=1,V6=1,ISNUMBER(M6)),M6-L6,"")</f>
        <v>17</v>
      </c>
      <c r="AE6" s="14" t="str">
        <f aca="false">IF(AD6="","",IF(AD6&lt;0,"Early",IF(AD6=0,"On Time","Late")))</f>
        <v>Late</v>
      </c>
      <c r="AF6" s="14" t="n">
        <f aca="false">IF(AND(T6=1,ISNUMBER(J6),N6&lt;&gt;"Cancelled"),J6-B6,"")</f>
        <v>18</v>
      </c>
      <c r="AG6" s="14" t="n">
        <f aca="false">IF(AND(AF6&lt;&gt;"",Z6&lt;&gt;""),K6-J6,"")</f>
        <v>9</v>
      </c>
      <c r="AH6" s="14" t="n">
        <f aca="false">IF(AND(Z6&lt;&gt;"",AD6&lt;&gt;""),M6-K6,"")</f>
        <v>17</v>
      </c>
      <c r="AI6" s="14" t="n">
        <f aca="false">IF(Z6&lt;&gt;"",K6-B6,"")</f>
        <v>27</v>
      </c>
      <c r="AJ6" s="14" t="n">
        <f aca="false">IF(AND(N6="Completed",AD6&lt;&gt;""),M6-B6,"")</f>
        <v>44</v>
      </c>
      <c r="AK6" s="14" t="str">
        <f aca="false">IF(N6="Cancelled","Cancelled",IF(N6="Completed","Completed",IF(Y6=1,"Awaiting Installation",IF(ISNUMBER(J6),"In Transit","In Production"))))</f>
        <v>Completed</v>
      </c>
      <c r="AL6" s="18" t="n">
        <f aca="false">IF(AND(N6="Pending",OR(AND(Y6=0,I6&lt;AsOf),AND(Y6=1,L6&lt;AsOf))),1,0)</f>
        <v>0</v>
      </c>
      <c r="AM6" s="14" t="str">
        <f aca="false">IF(AL6=1,IF(Y6=0,AsOf-I6,AsOf-L6),"")</f>
        <v/>
      </c>
      <c r="AN6" s="14" t="str">
        <f aca="false">IF(AL6=1,IF(Y6=0,"Delivery","Installation"),"")</f>
        <v/>
      </c>
      <c r="AO6" s="14" t="n">
        <f aca="false">IF(AND(OR(fCat="All",F6=fCat),OR(fCust="All",D6=fCust),OR(fReg="All",E6=fReg)),1,0)</f>
        <v>1</v>
      </c>
      <c r="AP6" s="14" t="n">
        <f aca="false">IF(AND(AL6=1,AO6=1),AM6+ROW()/100000,0)</f>
        <v>0</v>
      </c>
    </row>
    <row r="7" customFormat="false" ht="15" hidden="false" customHeight="false" outlineLevel="0" collapsed="false">
      <c r="A7" s="14" t="s">
        <v>118</v>
      </c>
      <c r="B7" s="15" t="n">
        <v>46043</v>
      </c>
      <c r="C7" s="14" t="s">
        <v>120</v>
      </c>
      <c r="D7" s="14" t="s">
        <v>65</v>
      </c>
      <c r="E7" s="14" t="s">
        <v>91</v>
      </c>
      <c r="F7" s="14" t="s">
        <v>121</v>
      </c>
      <c r="G7" s="14" t="n">
        <v>2</v>
      </c>
      <c r="H7" s="16" t="n">
        <v>2244000</v>
      </c>
      <c r="I7" s="15" t="n">
        <v>46073</v>
      </c>
      <c r="J7" s="15" t="n">
        <v>46071</v>
      </c>
      <c r="K7" s="15" t="n">
        <v>46073</v>
      </c>
      <c r="L7" s="15" t="n">
        <v>46078</v>
      </c>
      <c r="M7" s="15" t="n">
        <v>46070</v>
      </c>
      <c r="N7" s="14" t="s">
        <v>75</v>
      </c>
      <c r="O7" s="14"/>
      <c r="P7" s="14"/>
      <c r="Q7" s="14"/>
      <c r="R7" s="14" t="s">
        <v>98</v>
      </c>
      <c r="S7" s="14" t="s">
        <v>746</v>
      </c>
      <c r="T7" s="14" t="n">
        <v>1</v>
      </c>
      <c r="U7" s="14" t="n">
        <v>1</v>
      </c>
      <c r="V7" s="14" t="n">
        <v>0</v>
      </c>
      <c r="W7" s="17" t="n">
        <f aca="false">DATE(YEAR(B7),MONTH(B7),1)</f>
        <v>46023</v>
      </c>
      <c r="X7" s="14" t="n">
        <f aca="false">IF(AND(N7&lt;&gt;"Cancelled",I7&lt;=AsOf),1,0)</f>
        <v>1</v>
      </c>
      <c r="Y7" s="14" t="n">
        <f aca="false">IF(AND(N7&lt;&gt;"Cancelled",OR(ISNUMBER(K7),N7="Completed")),1,0)</f>
        <v>1</v>
      </c>
      <c r="Z7" s="14" t="n">
        <f aca="false">IF(AND(Y7=1,U7=1,ISNUMBER(K7)),K7-I7,"")</f>
        <v>0</v>
      </c>
      <c r="AA7" s="14" t="str">
        <f aca="false">IF(Z7="","",IF(Z7&lt;0,"Early",IF(Z7=0,"On Time","Late")))</f>
        <v>On Time</v>
      </c>
      <c r="AB7" s="14" t="n">
        <f aca="false">IF(AND(N7&lt;&gt;"Cancelled",L7&lt;=AsOf),1,0)</f>
        <v>1</v>
      </c>
      <c r="AC7" s="14" t="n">
        <f aca="false">IF(AND(N7&lt;&gt;"Cancelled",OR(ISNUMBER(M7),N7="Completed")),1,0)</f>
        <v>1</v>
      </c>
      <c r="AD7" s="14" t="str">
        <f aca="false">IF(AND(AC7=1,V7=1,ISNUMBER(M7)),M7-L7,"")</f>
        <v/>
      </c>
      <c r="AE7" s="14" t="str">
        <f aca="false">IF(AD7="","",IF(AD7&lt;0,"Early",IF(AD7=0,"On Time","Late")))</f>
        <v/>
      </c>
      <c r="AF7" s="14" t="n">
        <f aca="false">IF(AND(T7=1,ISNUMBER(J7),N7&lt;&gt;"Cancelled"),J7-B7,"")</f>
        <v>28</v>
      </c>
      <c r="AG7" s="14" t="n">
        <f aca="false">IF(AND(AF7&lt;&gt;"",Z7&lt;&gt;""),K7-J7,"")</f>
        <v>2</v>
      </c>
      <c r="AH7" s="14" t="str">
        <f aca="false">IF(AND(Z7&lt;&gt;"",AD7&lt;&gt;""),M7-K7,"")</f>
        <v/>
      </c>
      <c r="AI7" s="14" t="n">
        <f aca="false">IF(Z7&lt;&gt;"",K7-B7,"")</f>
        <v>30</v>
      </c>
      <c r="AJ7" s="14" t="str">
        <f aca="false">IF(AND(N7="Completed",AD7&lt;&gt;""),M7-B7,"")</f>
        <v/>
      </c>
      <c r="AK7" s="14" t="str">
        <f aca="false">IF(N7="Cancelled","Cancelled",IF(N7="Completed","Completed",IF(Y7=1,"Awaiting Installation",IF(ISNUMBER(J7),"In Transit","In Production"))))</f>
        <v>Completed</v>
      </c>
      <c r="AL7" s="18" t="n">
        <f aca="false">IF(AND(N7="Pending",OR(AND(Y7=0,I7&lt;AsOf),AND(Y7=1,L7&lt;AsOf))),1,0)</f>
        <v>0</v>
      </c>
      <c r="AM7" s="14" t="str">
        <f aca="false">IF(AL7=1,IF(Y7=0,AsOf-I7,AsOf-L7),"")</f>
        <v/>
      </c>
      <c r="AN7" s="14" t="str">
        <f aca="false">IF(AL7=1,IF(Y7=0,"Delivery","Installation"),"")</f>
        <v/>
      </c>
      <c r="AO7" s="14" t="n">
        <f aca="false">IF(AND(OR(fCat="All",F7=fCat),OR(fCust="All",D7=fCust),OR(fReg="All",E7=fReg)),1,0)</f>
        <v>1</v>
      </c>
      <c r="AP7" s="14" t="n">
        <f aca="false">IF(AND(AL7=1,AO7=1),AM7+ROW()/100000,0)</f>
        <v>0</v>
      </c>
    </row>
    <row r="8" customFormat="false" ht="15" hidden="false" customHeight="false" outlineLevel="0" collapsed="false">
      <c r="A8" s="14" t="s">
        <v>126</v>
      </c>
      <c r="B8" s="15" t="n">
        <v>46044</v>
      </c>
      <c r="C8" s="14" t="s">
        <v>128</v>
      </c>
      <c r="D8" s="14" t="s">
        <v>90</v>
      </c>
      <c r="E8" s="14" t="s">
        <v>91</v>
      </c>
      <c r="F8" s="14" t="s">
        <v>121</v>
      </c>
      <c r="G8" s="14" t="n">
        <v>1</v>
      </c>
      <c r="H8" s="16" t="n">
        <v>783000</v>
      </c>
      <c r="I8" s="15" t="n">
        <v>46074</v>
      </c>
      <c r="J8" s="15" t="n">
        <v>46072</v>
      </c>
      <c r="K8" s="15"/>
      <c r="L8" s="15" t="n">
        <v>46079</v>
      </c>
      <c r="M8" s="15" t="n">
        <v>46078</v>
      </c>
      <c r="N8" s="14" t="s">
        <v>75</v>
      </c>
      <c r="O8" s="14"/>
      <c r="P8" s="14"/>
      <c r="Q8" s="14"/>
      <c r="R8" s="14" t="s">
        <v>134</v>
      </c>
      <c r="S8" s="14" t="s">
        <v>747</v>
      </c>
      <c r="T8" s="14" t="n">
        <v>1</v>
      </c>
      <c r="U8" s="14" t="n">
        <v>0</v>
      </c>
      <c r="V8" s="14" t="n">
        <v>1</v>
      </c>
      <c r="W8" s="17" t="n">
        <f aca="false">DATE(YEAR(B8),MONTH(B8),1)</f>
        <v>46023</v>
      </c>
      <c r="X8" s="14" t="n">
        <f aca="false">IF(AND(N8&lt;&gt;"Cancelled",I8&lt;=AsOf),1,0)</f>
        <v>1</v>
      </c>
      <c r="Y8" s="14" t="n">
        <f aca="false">IF(AND(N8&lt;&gt;"Cancelled",OR(ISNUMBER(K8),N8="Completed")),1,0)</f>
        <v>1</v>
      </c>
      <c r="Z8" s="14" t="str">
        <f aca="false">IF(AND(Y8=1,U8=1,ISNUMBER(K8)),K8-I8,"")</f>
        <v/>
      </c>
      <c r="AA8" s="14" t="str">
        <f aca="false">IF(Z8="","",IF(Z8&lt;0,"Early",IF(Z8=0,"On Time","Late")))</f>
        <v/>
      </c>
      <c r="AB8" s="14" t="n">
        <f aca="false">IF(AND(N8&lt;&gt;"Cancelled",L8&lt;=AsOf),1,0)</f>
        <v>1</v>
      </c>
      <c r="AC8" s="14" t="n">
        <f aca="false">IF(AND(N8&lt;&gt;"Cancelled",OR(ISNUMBER(M8),N8="Completed")),1,0)</f>
        <v>1</v>
      </c>
      <c r="AD8" s="14" t="n">
        <f aca="false">IF(AND(AC8=1,V8=1,ISNUMBER(M8)),M8-L8,"")</f>
        <v>-1</v>
      </c>
      <c r="AE8" s="14" t="str">
        <f aca="false">IF(AD8="","",IF(AD8&lt;0,"Early",IF(AD8=0,"On Time","Late")))</f>
        <v>Early</v>
      </c>
      <c r="AF8" s="14" t="n">
        <f aca="false">IF(AND(T8=1,ISNUMBER(J8),N8&lt;&gt;"Cancelled"),J8-B8,"")</f>
        <v>28</v>
      </c>
      <c r="AG8" s="14" t="str">
        <f aca="false">IF(AND(AF8&lt;&gt;"",Z8&lt;&gt;""),K8-J8,"")</f>
        <v/>
      </c>
      <c r="AH8" s="14" t="str">
        <f aca="false">IF(AND(Z8&lt;&gt;"",AD8&lt;&gt;""),M8-K8,"")</f>
        <v/>
      </c>
      <c r="AI8" s="14" t="str">
        <f aca="false">IF(Z8&lt;&gt;"",K8-B8,"")</f>
        <v/>
      </c>
      <c r="AJ8" s="14" t="n">
        <f aca="false">IF(AND(N8="Completed",AD8&lt;&gt;""),M8-B8,"")</f>
        <v>34</v>
      </c>
      <c r="AK8" s="14" t="str">
        <f aca="false">IF(N8="Cancelled","Cancelled",IF(N8="Completed","Completed",IF(Y8=1,"Awaiting Installation",IF(ISNUMBER(J8),"In Transit","In Production"))))</f>
        <v>Completed</v>
      </c>
      <c r="AL8" s="18" t="n">
        <f aca="false">IF(AND(N8="Pending",OR(AND(Y8=0,I8&lt;AsOf),AND(Y8=1,L8&lt;AsOf))),1,0)</f>
        <v>0</v>
      </c>
      <c r="AM8" s="14" t="str">
        <f aca="false">IF(AL8=1,IF(Y8=0,AsOf-I8,AsOf-L8),"")</f>
        <v/>
      </c>
      <c r="AN8" s="14" t="str">
        <f aca="false">IF(AL8=1,IF(Y8=0,"Delivery","Installation"),"")</f>
        <v/>
      </c>
      <c r="AO8" s="14" t="n">
        <f aca="false">IF(AND(OR(fCat="All",F8=fCat),OR(fCust="All",D8=fCust),OR(fReg="All",E8=fReg)),1,0)</f>
        <v>1</v>
      </c>
      <c r="AP8" s="14" t="n">
        <f aca="false">IF(AND(AL8=1,AO8=1),AM8+ROW()/100000,0)</f>
        <v>0</v>
      </c>
    </row>
    <row r="9" customFormat="false" ht="15" hidden="false" customHeight="false" outlineLevel="0" collapsed="false">
      <c r="A9" s="14" t="s">
        <v>135</v>
      </c>
      <c r="B9" s="15" t="n">
        <v>46045</v>
      </c>
      <c r="C9" s="14" t="s">
        <v>137</v>
      </c>
      <c r="D9" s="14" t="s">
        <v>65</v>
      </c>
      <c r="E9" s="14" t="s">
        <v>91</v>
      </c>
      <c r="F9" s="14" t="s">
        <v>67</v>
      </c>
      <c r="G9" s="14" t="n">
        <v>2</v>
      </c>
      <c r="H9" s="16" t="n">
        <v>1038000</v>
      </c>
      <c r="I9" s="15" t="n">
        <v>46063</v>
      </c>
      <c r="J9" s="15" t="n">
        <v>46053</v>
      </c>
      <c r="K9" s="15" t="n">
        <v>46055</v>
      </c>
      <c r="L9" s="15" t="n">
        <v>46068</v>
      </c>
      <c r="M9" s="15" t="n">
        <v>46069</v>
      </c>
      <c r="N9" s="14" t="s">
        <v>75</v>
      </c>
      <c r="O9" s="14"/>
      <c r="P9" s="14"/>
      <c r="Q9" s="14"/>
      <c r="R9" s="14" t="s">
        <v>86</v>
      </c>
      <c r="S9" s="14" t="s">
        <v>745</v>
      </c>
      <c r="T9" s="14" t="n">
        <v>1</v>
      </c>
      <c r="U9" s="14" t="n">
        <v>1</v>
      </c>
      <c r="V9" s="14" t="n">
        <v>1</v>
      </c>
      <c r="W9" s="17" t="n">
        <f aca="false">DATE(YEAR(B9),MONTH(B9),1)</f>
        <v>46023</v>
      </c>
      <c r="X9" s="14" t="n">
        <f aca="false">IF(AND(N9&lt;&gt;"Cancelled",I9&lt;=AsOf),1,0)</f>
        <v>1</v>
      </c>
      <c r="Y9" s="14" t="n">
        <f aca="false">IF(AND(N9&lt;&gt;"Cancelled",OR(ISNUMBER(K9),N9="Completed")),1,0)</f>
        <v>1</v>
      </c>
      <c r="Z9" s="14" t="n">
        <f aca="false">IF(AND(Y9=1,U9=1,ISNUMBER(K9)),K9-I9,"")</f>
        <v>-8</v>
      </c>
      <c r="AA9" s="14" t="str">
        <f aca="false">IF(Z9="","",IF(Z9&lt;0,"Early",IF(Z9=0,"On Time","Late")))</f>
        <v>Early</v>
      </c>
      <c r="AB9" s="14" t="n">
        <f aca="false">IF(AND(N9&lt;&gt;"Cancelled",L9&lt;=AsOf),1,0)</f>
        <v>1</v>
      </c>
      <c r="AC9" s="14" t="n">
        <f aca="false">IF(AND(N9&lt;&gt;"Cancelled",OR(ISNUMBER(M9),N9="Completed")),1,0)</f>
        <v>1</v>
      </c>
      <c r="AD9" s="14" t="n">
        <f aca="false">IF(AND(AC9=1,V9=1,ISNUMBER(M9)),M9-L9,"")</f>
        <v>1</v>
      </c>
      <c r="AE9" s="14" t="str">
        <f aca="false">IF(AD9="","",IF(AD9&lt;0,"Early",IF(AD9=0,"On Time","Late")))</f>
        <v>Late</v>
      </c>
      <c r="AF9" s="14" t="n">
        <f aca="false">IF(AND(T9=1,ISNUMBER(J9),N9&lt;&gt;"Cancelled"),J9-B9,"")</f>
        <v>8</v>
      </c>
      <c r="AG9" s="14" t="n">
        <f aca="false">IF(AND(AF9&lt;&gt;"",Z9&lt;&gt;""),K9-J9,"")</f>
        <v>2</v>
      </c>
      <c r="AH9" s="14" t="n">
        <f aca="false">IF(AND(Z9&lt;&gt;"",AD9&lt;&gt;""),M9-K9,"")</f>
        <v>14</v>
      </c>
      <c r="AI9" s="14" t="n">
        <f aca="false">IF(Z9&lt;&gt;"",K9-B9,"")</f>
        <v>10</v>
      </c>
      <c r="AJ9" s="14" t="n">
        <f aca="false">IF(AND(N9="Completed",AD9&lt;&gt;""),M9-B9,"")</f>
        <v>24</v>
      </c>
      <c r="AK9" s="14" t="str">
        <f aca="false">IF(N9="Cancelled","Cancelled",IF(N9="Completed","Completed",IF(Y9=1,"Awaiting Installation",IF(ISNUMBER(J9),"In Transit","In Production"))))</f>
        <v>Completed</v>
      </c>
      <c r="AL9" s="18" t="n">
        <f aca="false">IF(AND(N9="Pending",OR(AND(Y9=0,I9&lt;AsOf),AND(Y9=1,L9&lt;AsOf))),1,0)</f>
        <v>0</v>
      </c>
      <c r="AM9" s="14" t="str">
        <f aca="false">IF(AL9=1,IF(Y9=0,AsOf-I9,AsOf-L9),"")</f>
        <v/>
      </c>
      <c r="AN9" s="14" t="str">
        <f aca="false">IF(AL9=1,IF(Y9=0,"Delivery","Installation"),"")</f>
        <v/>
      </c>
      <c r="AO9" s="14" t="n">
        <f aca="false">IF(AND(OR(fCat="All",F9=fCat),OR(fCust="All",D9=fCust),OR(fReg="All",E9=fReg)),1,0)</f>
        <v>1</v>
      </c>
      <c r="AP9" s="14" t="n">
        <f aca="false">IF(AND(AL9=1,AO9=1),AM9+ROW()/100000,0)</f>
        <v>0</v>
      </c>
    </row>
    <row r="10" customFormat="false" ht="15" hidden="false" customHeight="false" outlineLevel="0" collapsed="false">
      <c r="A10" s="14" t="s">
        <v>142</v>
      </c>
      <c r="B10" s="15" t="n">
        <v>46046</v>
      </c>
      <c r="C10" s="14" t="s">
        <v>144</v>
      </c>
      <c r="D10" s="14" t="s">
        <v>65</v>
      </c>
      <c r="E10" s="14" t="s">
        <v>91</v>
      </c>
      <c r="F10" s="14" t="s">
        <v>67</v>
      </c>
      <c r="G10" s="14" t="n">
        <v>2</v>
      </c>
      <c r="H10" s="16" t="n">
        <v>1594000</v>
      </c>
      <c r="I10" s="15" t="n">
        <v>46064</v>
      </c>
      <c r="J10" s="15" t="n">
        <v>46068</v>
      </c>
      <c r="K10" s="15" t="n">
        <v>46069</v>
      </c>
      <c r="L10" s="15" t="n">
        <v>46069</v>
      </c>
      <c r="M10" s="15" t="n">
        <v>46072</v>
      </c>
      <c r="N10" s="14" t="s">
        <v>75</v>
      </c>
      <c r="O10" s="14" t="s">
        <v>84</v>
      </c>
      <c r="P10" s="14" t="s">
        <v>85</v>
      </c>
      <c r="Q10" s="14"/>
      <c r="R10" s="14"/>
      <c r="S10" s="14" t="s">
        <v>745</v>
      </c>
      <c r="T10" s="14" t="n">
        <v>1</v>
      </c>
      <c r="U10" s="14" t="n">
        <v>1</v>
      </c>
      <c r="V10" s="14" t="n">
        <v>1</v>
      </c>
      <c r="W10" s="17" t="n">
        <f aca="false">DATE(YEAR(B10),MONTH(B10),1)</f>
        <v>46023</v>
      </c>
      <c r="X10" s="14" t="n">
        <f aca="false">IF(AND(N10&lt;&gt;"Cancelled",I10&lt;=AsOf),1,0)</f>
        <v>1</v>
      </c>
      <c r="Y10" s="14" t="n">
        <f aca="false">IF(AND(N10&lt;&gt;"Cancelled",OR(ISNUMBER(K10),N10="Completed")),1,0)</f>
        <v>1</v>
      </c>
      <c r="Z10" s="14" t="n">
        <f aca="false">IF(AND(Y10=1,U10=1,ISNUMBER(K10)),K10-I10,"")</f>
        <v>5</v>
      </c>
      <c r="AA10" s="14" t="str">
        <f aca="false">IF(Z10="","",IF(Z10&lt;0,"Early",IF(Z10=0,"On Time","Late")))</f>
        <v>Late</v>
      </c>
      <c r="AB10" s="14" t="n">
        <f aca="false">IF(AND(N10&lt;&gt;"Cancelled",L10&lt;=AsOf),1,0)</f>
        <v>1</v>
      </c>
      <c r="AC10" s="14" t="n">
        <f aca="false">IF(AND(N10&lt;&gt;"Cancelled",OR(ISNUMBER(M10),N10="Completed")),1,0)</f>
        <v>1</v>
      </c>
      <c r="AD10" s="14" t="n">
        <f aca="false">IF(AND(AC10=1,V10=1,ISNUMBER(M10)),M10-L10,"")</f>
        <v>3</v>
      </c>
      <c r="AE10" s="14" t="str">
        <f aca="false">IF(AD10="","",IF(AD10&lt;0,"Early",IF(AD10=0,"On Time","Late")))</f>
        <v>Late</v>
      </c>
      <c r="AF10" s="14" t="n">
        <f aca="false">IF(AND(T10=1,ISNUMBER(J10),N10&lt;&gt;"Cancelled"),J10-B10,"")</f>
        <v>22</v>
      </c>
      <c r="AG10" s="14" t="n">
        <f aca="false">IF(AND(AF10&lt;&gt;"",Z10&lt;&gt;""),K10-J10,"")</f>
        <v>1</v>
      </c>
      <c r="AH10" s="14" t="n">
        <f aca="false">IF(AND(Z10&lt;&gt;"",AD10&lt;&gt;""),M10-K10,"")</f>
        <v>3</v>
      </c>
      <c r="AI10" s="14" t="n">
        <f aca="false">IF(Z10&lt;&gt;"",K10-B10,"")</f>
        <v>23</v>
      </c>
      <c r="AJ10" s="14" t="n">
        <f aca="false">IF(AND(N10="Completed",AD10&lt;&gt;""),M10-B10,"")</f>
        <v>26</v>
      </c>
      <c r="AK10" s="14" t="str">
        <f aca="false">IF(N10="Cancelled","Cancelled",IF(N10="Completed","Completed",IF(Y10=1,"Awaiting Installation",IF(ISNUMBER(J10),"In Transit","In Production"))))</f>
        <v>Completed</v>
      </c>
      <c r="AL10" s="18" t="n">
        <f aca="false">IF(AND(N10="Pending",OR(AND(Y10=0,I10&lt;AsOf),AND(Y10=1,L10&lt;AsOf))),1,0)</f>
        <v>0</v>
      </c>
      <c r="AM10" s="14" t="str">
        <f aca="false">IF(AL10=1,IF(Y10=0,AsOf-I10,AsOf-L10),"")</f>
        <v/>
      </c>
      <c r="AN10" s="14" t="str">
        <f aca="false">IF(AL10=1,IF(Y10=0,"Delivery","Installation"),"")</f>
        <v/>
      </c>
      <c r="AO10" s="14" t="n">
        <f aca="false">IF(AND(OR(fCat="All",F10=fCat),OR(fCust="All",D10=fCust),OR(fReg="All",E10=fReg)),1,0)</f>
        <v>1</v>
      </c>
      <c r="AP10" s="14" t="n">
        <f aca="false">IF(AND(AL10=1,AO10=1),AM10+ROW()/100000,0)</f>
        <v>0</v>
      </c>
    </row>
    <row r="11" customFormat="false" ht="15" hidden="false" customHeight="false" outlineLevel="0" collapsed="false">
      <c r="A11" s="14" t="s">
        <v>146</v>
      </c>
      <c r="B11" s="15" t="n">
        <v>46048</v>
      </c>
      <c r="C11" s="14" t="s">
        <v>148</v>
      </c>
      <c r="D11" s="14" t="s">
        <v>149</v>
      </c>
      <c r="E11" s="14" t="s">
        <v>91</v>
      </c>
      <c r="F11" s="14" t="s">
        <v>150</v>
      </c>
      <c r="G11" s="14" t="n">
        <v>1</v>
      </c>
      <c r="H11" s="16" t="n">
        <v>249000</v>
      </c>
      <c r="I11" s="15" t="n">
        <v>46062</v>
      </c>
      <c r="J11" s="15" t="n">
        <v>46057</v>
      </c>
      <c r="K11" s="15" t="n">
        <v>46058</v>
      </c>
      <c r="L11" s="15" t="n">
        <v>46065</v>
      </c>
      <c r="M11" s="15" t="n">
        <v>46059</v>
      </c>
      <c r="N11" s="14" t="s">
        <v>75</v>
      </c>
      <c r="O11" s="14"/>
      <c r="P11" s="14"/>
      <c r="Q11" s="14"/>
      <c r="R11" s="14" t="s">
        <v>86</v>
      </c>
      <c r="S11" s="14" t="s">
        <v>745</v>
      </c>
      <c r="T11" s="14" t="n">
        <v>1</v>
      </c>
      <c r="U11" s="14" t="n">
        <v>1</v>
      </c>
      <c r="V11" s="14" t="n">
        <v>1</v>
      </c>
      <c r="W11" s="17" t="n">
        <f aca="false">DATE(YEAR(B11),MONTH(B11),1)</f>
        <v>46023</v>
      </c>
      <c r="X11" s="14" t="n">
        <f aca="false">IF(AND(N11&lt;&gt;"Cancelled",I11&lt;=AsOf),1,0)</f>
        <v>1</v>
      </c>
      <c r="Y11" s="14" t="n">
        <f aca="false">IF(AND(N11&lt;&gt;"Cancelled",OR(ISNUMBER(K11),N11="Completed")),1,0)</f>
        <v>1</v>
      </c>
      <c r="Z11" s="14" t="n">
        <f aca="false">IF(AND(Y11=1,U11=1,ISNUMBER(K11)),K11-I11,"")</f>
        <v>-4</v>
      </c>
      <c r="AA11" s="14" t="str">
        <f aca="false">IF(Z11="","",IF(Z11&lt;0,"Early",IF(Z11=0,"On Time","Late")))</f>
        <v>Early</v>
      </c>
      <c r="AB11" s="14" t="n">
        <f aca="false">IF(AND(N11&lt;&gt;"Cancelled",L11&lt;=AsOf),1,0)</f>
        <v>1</v>
      </c>
      <c r="AC11" s="14" t="n">
        <f aca="false">IF(AND(N11&lt;&gt;"Cancelled",OR(ISNUMBER(M11),N11="Completed")),1,0)</f>
        <v>1</v>
      </c>
      <c r="AD11" s="14" t="n">
        <f aca="false">IF(AND(AC11=1,V11=1,ISNUMBER(M11)),M11-L11,"")</f>
        <v>-6</v>
      </c>
      <c r="AE11" s="14" t="str">
        <f aca="false">IF(AD11="","",IF(AD11&lt;0,"Early",IF(AD11=0,"On Time","Late")))</f>
        <v>Early</v>
      </c>
      <c r="AF11" s="14" t="n">
        <f aca="false">IF(AND(T11=1,ISNUMBER(J11),N11&lt;&gt;"Cancelled"),J11-B11,"")</f>
        <v>9</v>
      </c>
      <c r="AG11" s="14" t="n">
        <f aca="false">IF(AND(AF11&lt;&gt;"",Z11&lt;&gt;""),K11-J11,"")</f>
        <v>1</v>
      </c>
      <c r="AH11" s="14" t="n">
        <f aca="false">IF(AND(Z11&lt;&gt;"",AD11&lt;&gt;""),M11-K11,"")</f>
        <v>1</v>
      </c>
      <c r="AI11" s="14" t="n">
        <f aca="false">IF(Z11&lt;&gt;"",K11-B11,"")</f>
        <v>10</v>
      </c>
      <c r="AJ11" s="14" t="n">
        <f aca="false">IF(AND(N11="Completed",AD11&lt;&gt;""),M11-B11,"")</f>
        <v>11</v>
      </c>
      <c r="AK11" s="14" t="str">
        <f aca="false">IF(N11="Cancelled","Cancelled",IF(N11="Completed","Completed",IF(Y11=1,"Awaiting Installation",IF(ISNUMBER(J11),"In Transit","In Production"))))</f>
        <v>Completed</v>
      </c>
      <c r="AL11" s="18" t="n">
        <f aca="false">IF(AND(N11="Pending",OR(AND(Y11=0,I11&lt;AsOf),AND(Y11=1,L11&lt;AsOf))),1,0)</f>
        <v>0</v>
      </c>
      <c r="AM11" s="14" t="str">
        <f aca="false">IF(AL11=1,IF(Y11=0,AsOf-I11,AsOf-L11),"")</f>
        <v/>
      </c>
      <c r="AN11" s="14" t="str">
        <f aca="false">IF(AL11=1,IF(Y11=0,"Delivery","Installation"),"")</f>
        <v/>
      </c>
      <c r="AO11" s="14" t="n">
        <f aca="false">IF(AND(OR(fCat="All",F11=fCat),OR(fCust="All",D11=fCust),OR(fReg="All",E11=fReg)),1,0)</f>
        <v>1</v>
      </c>
      <c r="AP11" s="14" t="n">
        <f aca="false">IF(AND(AL11=1,AO11=1),AM11+ROW()/100000,0)</f>
        <v>0</v>
      </c>
    </row>
    <row r="12" customFormat="false" ht="15" hidden="false" customHeight="false" outlineLevel="0" collapsed="false">
      <c r="A12" s="14" t="s">
        <v>153</v>
      </c>
      <c r="B12" s="15" t="n">
        <v>46051</v>
      </c>
      <c r="C12" s="14" t="s">
        <v>155</v>
      </c>
      <c r="D12" s="14" t="s">
        <v>90</v>
      </c>
      <c r="E12" s="14" t="s">
        <v>102</v>
      </c>
      <c r="F12" s="14" t="s">
        <v>103</v>
      </c>
      <c r="G12" s="14" t="n">
        <v>2</v>
      </c>
      <c r="H12" s="16" t="n">
        <v>846000</v>
      </c>
      <c r="I12" s="15" t="n">
        <v>46074</v>
      </c>
      <c r="J12" s="15" t="n">
        <v>46075</v>
      </c>
      <c r="K12" s="15" t="n">
        <v>46079</v>
      </c>
      <c r="L12" s="15" t="n">
        <v>46079</v>
      </c>
      <c r="M12" s="15" t="n">
        <v>46082</v>
      </c>
      <c r="N12" s="14" t="s">
        <v>75</v>
      </c>
      <c r="O12" s="14" t="s">
        <v>110</v>
      </c>
      <c r="P12" s="14" t="s">
        <v>85</v>
      </c>
      <c r="Q12" s="14"/>
      <c r="R12" s="14"/>
      <c r="S12" s="14" t="s">
        <v>745</v>
      </c>
      <c r="T12" s="14" t="n">
        <v>1</v>
      </c>
      <c r="U12" s="14" t="n">
        <v>1</v>
      </c>
      <c r="V12" s="14" t="n">
        <v>1</v>
      </c>
      <c r="W12" s="17" t="n">
        <f aca="false">DATE(YEAR(B12),MONTH(B12),1)</f>
        <v>46023</v>
      </c>
      <c r="X12" s="14" t="n">
        <f aca="false">IF(AND(N12&lt;&gt;"Cancelled",I12&lt;=AsOf),1,0)</f>
        <v>1</v>
      </c>
      <c r="Y12" s="14" t="n">
        <f aca="false">IF(AND(N12&lt;&gt;"Cancelled",OR(ISNUMBER(K12),N12="Completed")),1,0)</f>
        <v>1</v>
      </c>
      <c r="Z12" s="14" t="n">
        <f aca="false">IF(AND(Y12=1,U12=1,ISNUMBER(K12)),K12-I12,"")</f>
        <v>5</v>
      </c>
      <c r="AA12" s="14" t="str">
        <f aca="false">IF(Z12="","",IF(Z12&lt;0,"Early",IF(Z12=0,"On Time","Late")))</f>
        <v>Late</v>
      </c>
      <c r="AB12" s="14" t="n">
        <f aca="false">IF(AND(N12&lt;&gt;"Cancelled",L12&lt;=AsOf),1,0)</f>
        <v>1</v>
      </c>
      <c r="AC12" s="14" t="n">
        <f aca="false">IF(AND(N12&lt;&gt;"Cancelled",OR(ISNUMBER(M12),N12="Completed")),1,0)</f>
        <v>1</v>
      </c>
      <c r="AD12" s="14" t="n">
        <f aca="false">IF(AND(AC12=1,V12=1,ISNUMBER(M12)),M12-L12,"")</f>
        <v>3</v>
      </c>
      <c r="AE12" s="14" t="str">
        <f aca="false">IF(AD12="","",IF(AD12&lt;0,"Early",IF(AD12=0,"On Time","Late")))</f>
        <v>Late</v>
      </c>
      <c r="AF12" s="14" t="n">
        <f aca="false">IF(AND(T12=1,ISNUMBER(J12),N12&lt;&gt;"Cancelled"),J12-B12,"")</f>
        <v>24</v>
      </c>
      <c r="AG12" s="14" t="n">
        <f aca="false">IF(AND(AF12&lt;&gt;"",Z12&lt;&gt;""),K12-J12,"")</f>
        <v>4</v>
      </c>
      <c r="AH12" s="14" t="n">
        <f aca="false">IF(AND(Z12&lt;&gt;"",AD12&lt;&gt;""),M12-K12,"")</f>
        <v>3</v>
      </c>
      <c r="AI12" s="14" t="n">
        <f aca="false">IF(Z12&lt;&gt;"",K12-B12,"")</f>
        <v>28</v>
      </c>
      <c r="AJ12" s="14" t="n">
        <f aca="false">IF(AND(N12="Completed",AD12&lt;&gt;""),M12-B12,"")</f>
        <v>31</v>
      </c>
      <c r="AK12" s="14" t="str">
        <f aca="false">IF(N12="Cancelled","Cancelled",IF(N12="Completed","Completed",IF(Y12=1,"Awaiting Installation",IF(ISNUMBER(J12),"In Transit","In Production"))))</f>
        <v>Completed</v>
      </c>
      <c r="AL12" s="18" t="n">
        <f aca="false">IF(AND(N12="Pending",OR(AND(Y12=0,I12&lt;AsOf),AND(Y12=1,L12&lt;AsOf))),1,0)</f>
        <v>0</v>
      </c>
      <c r="AM12" s="14" t="str">
        <f aca="false">IF(AL12=1,IF(Y12=0,AsOf-I12,AsOf-L12),"")</f>
        <v/>
      </c>
      <c r="AN12" s="14" t="str">
        <f aca="false">IF(AL12=1,IF(Y12=0,"Delivery","Installation"),"")</f>
        <v/>
      </c>
      <c r="AO12" s="14" t="n">
        <f aca="false">IF(AND(OR(fCat="All",F12=fCat),OR(fCust="All",D12=fCust),OR(fReg="All",E12=fReg)),1,0)</f>
        <v>1</v>
      </c>
      <c r="AP12" s="14" t="n">
        <f aca="false">IF(AND(AL12=1,AO12=1),AM12+ROW()/100000,0)</f>
        <v>0</v>
      </c>
    </row>
    <row r="13" customFormat="false" ht="15" hidden="false" customHeight="false" outlineLevel="0" collapsed="false">
      <c r="A13" s="14" t="s">
        <v>159</v>
      </c>
      <c r="B13" s="15" t="n">
        <v>46051</v>
      </c>
      <c r="C13" s="14" t="s">
        <v>120</v>
      </c>
      <c r="D13" s="14" t="s">
        <v>149</v>
      </c>
      <c r="E13" s="14" t="s">
        <v>66</v>
      </c>
      <c r="F13" s="14" t="s">
        <v>160</v>
      </c>
      <c r="G13" s="14" t="n">
        <v>1</v>
      </c>
      <c r="H13" s="16" t="n">
        <v>174000</v>
      </c>
      <c r="I13" s="15" t="n">
        <v>46065</v>
      </c>
      <c r="J13" s="15" t="n">
        <v>46054</v>
      </c>
      <c r="K13" s="15" t="n">
        <v>46061</v>
      </c>
      <c r="L13" s="15" t="n">
        <v>46068</v>
      </c>
      <c r="M13" s="15" t="n">
        <v>46062</v>
      </c>
      <c r="N13" s="14" t="s">
        <v>75</v>
      </c>
      <c r="O13" s="14"/>
      <c r="P13" s="14"/>
      <c r="Q13" s="14"/>
      <c r="R13" s="14"/>
      <c r="S13" s="14" t="s">
        <v>745</v>
      </c>
      <c r="T13" s="14" t="n">
        <v>1</v>
      </c>
      <c r="U13" s="14" t="n">
        <v>1</v>
      </c>
      <c r="V13" s="14" t="n">
        <v>1</v>
      </c>
      <c r="W13" s="17" t="n">
        <f aca="false">DATE(YEAR(B13),MONTH(B13),1)</f>
        <v>46023</v>
      </c>
      <c r="X13" s="14" t="n">
        <f aca="false">IF(AND(N13&lt;&gt;"Cancelled",I13&lt;=AsOf),1,0)</f>
        <v>1</v>
      </c>
      <c r="Y13" s="14" t="n">
        <f aca="false">IF(AND(N13&lt;&gt;"Cancelled",OR(ISNUMBER(K13),N13="Completed")),1,0)</f>
        <v>1</v>
      </c>
      <c r="Z13" s="14" t="n">
        <f aca="false">IF(AND(Y13=1,U13=1,ISNUMBER(K13)),K13-I13,"")</f>
        <v>-4</v>
      </c>
      <c r="AA13" s="14" t="str">
        <f aca="false">IF(Z13="","",IF(Z13&lt;0,"Early",IF(Z13=0,"On Time","Late")))</f>
        <v>Early</v>
      </c>
      <c r="AB13" s="14" t="n">
        <f aca="false">IF(AND(N13&lt;&gt;"Cancelled",L13&lt;=AsOf),1,0)</f>
        <v>1</v>
      </c>
      <c r="AC13" s="14" t="n">
        <f aca="false">IF(AND(N13&lt;&gt;"Cancelled",OR(ISNUMBER(M13),N13="Completed")),1,0)</f>
        <v>1</v>
      </c>
      <c r="AD13" s="14" t="n">
        <f aca="false">IF(AND(AC13=1,V13=1,ISNUMBER(M13)),M13-L13,"")</f>
        <v>-6</v>
      </c>
      <c r="AE13" s="14" t="str">
        <f aca="false">IF(AD13="","",IF(AD13&lt;0,"Early",IF(AD13=0,"On Time","Late")))</f>
        <v>Early</v>
      </c>
      <c r="AF13" s="14" t="n">
        <f aca="false">IF(AND(T13=1,ISNUMBER(J13),N13&lt;&gt;"Cancelled"),J13-B13,"")</f>
        <v>3</v>
      </c>
      <c r="AG13" s="14" t="n">
        <f aca="false">IF(AND(AF13&lt;&gt;"",Z13&lt;&gt;""),K13-J13,"")</f>
        <v>7</v>
      </c>
      <c r="AH13" s="14" t="n">
        <f aca="false">IF(AND(Z13&lt;&gt;"",AD13&lt;&gt;""),M13-K13,"")</f>
        <v>1</v>
      </c>
      <c r="AI13" s="14" t="n">
        <f aca="false">IF(Z13&lt;&gt;"",K13-B13,"")</f>
        <v>10</v>
      </c>
      <c r="AJ13" s="14" t="n">
        <f aca="false">IF(AND(N13="Completed",AD13&lt;&gt;""),M13-B13,"")</f>
        <v>11</v>
      </c>
      <c r="AK13" s="14" t="str">
        <f aca="false">IF(N13="Cancelled","Cancelled",IF(N13="Completed","Completed",IF(Y13=1,"Awaiting Installation",IF(ISNUMBER(J13),"In Transit","In Production"))))</f>
        <v>Completed</v>
      </c>
      <c r="AL13" s="18" t="n">
        <f aca="false">IF(AND(N13="Pending",OR(AND(Y13=0,I13&lt;AsOf),AND(Y13=1,L13&lt;AsOf))),1,0)</f>
        <v>0</v>
      </c>
      <c r="AM13" s="14" t="str">
        <f aca="false">IF(AL13=1,IF(Y13=0,AsOf-I13,AsOf-L13),"")</f>
        <v/>
      </c>
      <c r="AN13" s="14" t="str">
        <f aca="false">IF(AL13=1,IF(Y13=0,"Delivery","Installation"),"")</f>
        <v/>
      </c>
      <c r="AO13" s="14" t="n">
        <f aca="false">IF(AND(OR(fCat="All",F13=fCat),OR(fCust="All",D13=fCust),OR(fReg="All",E13=fReg)),1,0)</f>
        <v>1</v>
      </c>
      <c r="AP13" s="14" t="n">
        <f aca="false">IF(AND(AL13=1,AO13=1),AM13+ROW()/100000,0)</f>
        <v>0</v>
      </c>
    </row>
    <row r="14" customFormat="false" ht="15" hidden="false" customHeight="false" outlineLevel="0" collapsed="false">
      <c r="A14" s="14" t="s">
        <v>163</v>
      </c>
      <c r="B14" s="15" t="n">
        <v>46052</v>
      </c>
      <c r="C14" s="14" t="s">
        <v>164</v>
      </c>
      <c r="D14" s="14" t="s">
        <v>149</v>
      </c>
      <c r="E14" s="14" t="s">
        <v>102</v>
      </c>
      <c r="F14" s="14" t="s">
        <v>160</v>
      </c>
      <c r="G14" s="14" t="n">
        <v>1</v>
      </c>
      <c r="H14" s="16" t="n">
        <v>131000</v>
      </c>
      <c r="I14" s="15" t="n">
        <v>46064</v>
      </c>
      <c r="J14" s="15" t="n">
        <v>46060</v>
      </c>
      <c r="K14" s="15" t="n">
        <v>46064</v>
      </c>
      <c r="L14" s="15" t="n">
        <v>46067</v>
      </c>
      <c r="M14" s="15" t="n">
        <v>46065</v>
      </c>
      <c r="N14" s="14" t="s">
        <v>75</v>
      </c>
      <c r="O14" s="14"/>
      <c r="P14" s="14"/>
      <c r="Q14" s="14"/>
      <c r="R14" s="14" t="s">
        <v>168</v>
      </c>
      <c r="S14" s="14" t="s">
        <v>745</v>
      </c>
      <c r="T14" s="14" t="n">
        <v>1</v>
      </c>
      <c r="U14" s="14" t="n">
        <v>1</v>
      </c>
      <c r="V14" s="14" t="n">
        <v>1</v>
      </c>
      <c r="W14" s="17" t="n">
        <f aca="false">DATE(YEAR(B14),MONTH(B14),1)</f>
        <v>46023</v>
      </c>
      <c r="X14" s="14" t="n">
        <f aca="false">IF(AND(N14&lt;&gt;"Cancelled",I14&lt;=AsOf),1,0)</f>
        <v>1</v>
      </c>
      <c r="Y14" s="14" t="n">
        <f aca="false">IF(AND(N14&lt;&gt;"Cancelled",OR(ISNUMBER(K14),N14="Completed")),1,0)</f>
        <v>1</v>
      </c>
      <c r="Z14" s="14" t="n">
        <f aca="false">IF(AND(Y14=1,U14=1,ISNUMBER(K14)),K14-I14,"")</f>
        <v>0</v>
      </c>
      <c r="AA14" s="14" t="str">
        <f aca="false">IF(Z14="","",IF(Z14&lt;0,"Early",IF(Z14=0,"On Time","Late")))</f>
        <v>On Time</v>
      </c>
      <c r="AB14" s="14" t="n">
        <f aca="false">IF(AND(N14&lt;&gt;"Cancelled",L14&lt;=AsOf),1,0)</f>
        <v>1</v>
      </c>
      <c r="AC14" s="14" t="n">
        <f aca="false">IF(AND(N14&lt;&gt;"Cancelled",OR(ISNUMBER(M14),N14="Completed")),1,0)</f>
        <v>1</v>
      </c>
      <c r="AD14" s="14" t="n">
        <f aca="false">IF(AND(AC14=1,V14=1,ISNUMBER(M14)),M14-L14,"")</f>
        <v>-2</v>
      </c>
      <c r="AE14" s="14" t="str">
        <f aca="false">IF(AD14="","",IF(AD14&lt;0,"Early",IF(AD14=0,"On Time","Late")))</f>
        <v>Early</v>
      </c>
      <c r="AF14" s="14" t="n">
        <f aca="false">IF(AND(T14=1,ISNUMBER(J14),N14&lt;&gt;"Cancelled"),J14-B14,"")</f>
        <v>8</v>
      </c>
      <c r="AG14" s="14" t="n">
        <f aca="false">IF(AND(AF14&lt;&gt;"",Z14&lt;&gt;""),K14-J14,"")</f>
        <v>4</v>
      </c>
      <c r="AH14" s="14" t="n">
        <f aca="false">IF(AND(Z14&lt;&gt;"",AD14&lt;&gt;""),M14-K14,"")</f>
        <v>1</v>
      </c>
      <c r="AI14" s="14" t="n">
        <f aca="false">IF(Z14&lt;&gt;"",K14-B14,"")</f>
        <v>12</v>
      </c>
      <c r="AJ14" s="14" t="n">
        <f aca="false">IF(AND(N14="Completed",AD14&lt;&gt;""),M14-B14,"")</f>
        <v>13</v>
      </c>
      <c r="AK14" s="14" t="str">
        <f aca="false">IF(N14="Cancelled","Cancelled",IF(N14="Completed","Completed",IF(Y14=1,"Awaiting Installation",IF(ISNUMBER(J14),"In Transit","In Production"))))</f>
        <v>Completed</v>
      </c>
      <c r="AL14" s="18" t="n">
        <f aca="false">IF(AND(N14="Pending",OR(AND(Y14=0,I14&lt;AsOf),AND(Y14=1,L14&lt;AsOf))),1,0)</f>
        <v>0</v>
      </c>
      <c r="AM14" s="14" t="str">
        <f aca="false">IF(AL14=1,IF(Y14=0,AsOf-I14,AsOf-L14),"")</f>
        <v/>
      </c>
      <c r="AN14" s="14" t="str">
        <f aca="false">IF(AL14=1,IF(Y14=0,"Delivery","Installation"),"")</f>
        <v/>
      </c>
      <c r="AO14" s="14" t="n">
        <f aca="false">IF(AND(OR(fCat="All",F14=fCat),OR(fCust="All",D14=fCust),OR(fReg="All",E14=fReg)),1,0)</f>
        <v>1</v>
      </c>
      <c r="AP14" s="14" t="n">
        <f aca="false">IF(AND(AL14=1,AO14=1),AM14+ROW()/100000,0)</f>
        <v>0</v>
      </c>
    </row>
    <row r="15" customFormat="false" ht="15" hidden="false" customHeight="false" outlineLevel="0" collapsed="false">
      <c r="A15" s="14" t="s">
        <v>169</v>
      </c>
      <c r="B15" s="15" t="n">
        <v>46054</v>
      </c>
      <c r="C15" s="14" t="s">
        <v>170</v>
      </c>
      <c r="D15" s="14" t="s">
        <v>65</v>
      </c>
      <c r="E15" s="14" t="s">
        <v>91</v>
      </c>
      <c r="F15" s="14" t="s">
        <v>67</v>
      </c>
      <c r="G15" s="14" t="n">
        <v>1</v>
      </c>
      <c r="H15" s="16" t="n">
        <v>448000</v>
      </c>
      <c r="I15" s="15" t="n">
        <v>46072</v>
      </c>
      <c r="J15" s="15" t="n">
        <v>46066</v>
      </c>
      <c r="K15" s="15" t="n">
        <v>46068</v>
      </c>
      <c r="L15" s="15" t="n">
        <v>46077</v>
      </c>
      <c r="M15" s="15" t="n">
        <v>46071</v>
      </c>
      <c r="N15" s="14" t="s">
        <v>75</v>
      </c>
      <c r="O15" s="14"/>
      <c r="P15" s="14"/>
      <c r="Q15" s="14"/>
      <c r="R15" s="14" t="s">
        <v>86</v>
      </c>
      <c r="S15" s="14" t="s">
        <v>745</v>
      </c>
      <c r="T15" s="14" t="n">
        <v>1</v>
      </c>
      <c r="U15" s="14" t="n">
        <v>1</v>
      </c>
      <c r="V15" s="14" t="n">
        <v>1</v>
      </c>
      <c r="W15" s="17" t="n">
        <f aca="false">DATE(YEAR(B15),MONTH(B15),1)</f>
        <v>46054</v>
      </c>
      <c r="X15" s="14" t="n">
        <f aca="false">IF(AND(N15&lt;&gt;"Cancelled",I15&lt;=AsOf),1,0)</f>
        <v>1</v>
      </c>
      <c r="Y15" s="14" t="n">
        <f aca="false">IF(AND(N15&lt;&gt;"Cancelled",OR(ISNUMBER(K15),N15="Completed")),1,0)</f>
        <v>1</v>
      </c>
      <c r="Z15" s="14" t="n">
        <f aca="false">IF(AND(Y15=1,U15=1,ISNUMBER(K15)),K15-I15,"")</f>
        <v>-4</v>
      </c>
      <c r="AA15" s="14" t="str">
        <f aca="false">IF(Z15="","",IF(Z15&lt;0,"Early",IF(Z15=0,"On Time","Late")))</f>
        <v>Early</v>
      </c>
      <c r="AB15" s="14" t="n">
        <f aca="false">IF(AND(N15&lt;&gt;"Cancelled",L15&lt;=AsOf),1,0)</f>
        <v>1</v>
      </c>
      <c r="AC15" s="14" t="n">
        <f aca="false">IF(AND(N15&lt;&gt;"Cancelled",OR(ISNUMBER(M15),N15="Completed")),1,0)</f>
        <v>1</v>
      </c>
      <c r="AD15" s="14" t="n">
        <f aca="false">IF(AND(AC15=1,V15=1,ISNUMBER(M15)),M15-L15,"")</f>
        <v>-6</v>
      </c>
      <c r="AE15" s="14" t="str">
        <f aca="false">IF(AD15="","",IF(AD15&lt;0,"Early",IF(AD15=0,"On Time","Late")))</f>
        <v>Early</v>
      </c>
      <c r="AF15" s="14" t="n">
        <f aca="false">IF(AND(T15=1,ISNUMBER(J15),N15&lt;&gt;"Cancelled"),J15-B15,"")</f>
        <v>12</v>
      </c>
      <c r="AG15" s="14" t="n">
        <f aca="false">IF(AND(AF15&lt;&gt;"",Z15&lt;&gt;""),K15-J15,"")</f>
        <v>2</v>
      </c>
      <c r="AH15" s="14" t="n">
        <f aca="false">IF(AND(Z15&lt;&gt;"",AD15&lt;&gt;""),M15-K15,"")</f>
        <v>3</v>
      </c>
      <c r="AI15" s="14" t="n">
        <f aca="false">IF(Z15&lt;&gt;"",K15-B15,"")</f>
        <v>14</v>
      </c>
      <c r="AJ15" s="14" t="n">
        <f aca="false">IF(AND(N15="Completed",AD15&lt;&gt;""),M15-B15,"")</f>
        <v>17</v>
      </c>
      <c r="AK15" s="14" t="str">
        <f aca="false">IF(N15="Cancelled","Cancelled",IF(N15="Completed","Completed",IF(Y15=1,"Awaiting Installation",IF(ISNUMBER(J15),"In Transit","In Production"))))</f>
        <v>Completed</v>
      </c>
      <c r="AL15" s="18" t="n">
        <f aca="false">IF(AND(N15="Pending",OR(AND(Y15=0,I15&lt;AsOf),AND(Y15=1,L15&lt;AsOf))),1,0)</f>
        <v>0</v>
      </c>
      <c r="AM15" s="14" t="str">
        <f aca="false">IF(AL15=1,IF(Y15=0,AsOf-I15,AsOf-L15),"")</f>
        <v/>
      </c>
      <c r="AN15" s="14" t="str">
        <f aca="false">IF(AL15=1,IF(Y15=0,"Delivery","Installation"),"")</f>
        <v/>
      </c>
      <c r="AO15" s="14" t="n">
        <f aca="false">IF(AND(OR(fCat="All",F15=fCat),OR(fCust="All",D15=fCust),OR(fReg="All",E15=fReg)),1,0)</f>
        <v>1</v>
      </c>
      <c r="AP15" s="14" t="n">
        <f aca="false">IF(AND(AL15=1,AO15=1),AM15+ROW()/100000,0)</f>
        <v>0</v>
      </c>
    </row>
    <row r="16" customFormat="false" ht="15" hidden="false" customHeight="false" outlineLevel="0" collapsed="false">
      <c r="A16" s="14" t="s">
        <v>173</v>
      </c>
      <c r="B16" s="15" t="n">
        <v>46055</v>
      </c>
      <c r="C16" s="14" t="s">
        <v>174</v>
      </c>
      <c r="D16" s="14" t="s">
        <v>90</v>
      </c>
      <c r="E16" s="14" t="s">
        <v>102</v>
      </c>
      <c r="F16" s="14" t="s">
        <v>67</v>
      </c>
      <c r="G16" s="14" t="n">
        <v>1</v>
      </c>
      <c r="H16" s="16" t="n">
        <v>798000</v>
      </c>
      <c r="I16" s="15" t="n">
        <v>46075</v>
      </c>
      <c r="J16" s="15" t="n">
        <v>46077</v>
      </c>
      <c r="K16" s="15" t="n">
        <v>46079</v>
      </c>
      <c r="L16" s="15" t="n">
        <v>46080</v>
      </c>
      <c r="M16" s="15" t="n">
        <v>46084</v>
      </c>
      <c r="N16" s="14" t="s">
        <v>75</v>
      </c>
      <c r="O16" s="14" t="s">
        <v>110</v>
      </c>
      <c r="P16" s="14" t="s">
        <v>85</v>
      </c>
      <c r="Q16" s="14"/>
      <c r="R16" s="14" t="s">
        <v>134</v>
      </c>
      <c r="S16" s="14" t="s">
        <v>745</v>
      </c>
      <c r="T16" s="14" t="n">
        <v>1</v>
      </c>
      <c r="U16" s="14" t="n">
        <v>1</v>
      </c>
      <c r="V16" s="14" t="n">
        <v>1</v>
      </c>
      <c r="W16" s="17" t="n">
        <f aca="false">DATE(YEAR(B16),MONTH(B16),1)</f>
        <v>46054</v>
      </c>
      <c r="X16" s="14" t="n">
        <f aca="false">IF(AND(N16&lt;&gt;"Cancelled",I16&lt;=AsOf),1,0)</f>
        <v>1</v>
      </c>
      <c r="Y16" s="14" t="n">
        <f aca="false">IF(AND(N16&lt;&gt;"Cancelled",OR(ISNUMBER(K16),N16="Completed")),1,0)</f>
        <v>1</v>
      </c>
      <c r="Z16" s="14" t="n">
        <f aca="false">IF(AND(Y16=1,U16=1,ISNUMBER(K16)),K16-I16,"")</f>
        <v>4</v>
      </c>
      <c r="AA16" s="14" t="str">
        <f aca="false">IF(Z16="","",IF(Z16&lt;0,"Early",IF(Z16=0,"On Time","Late")))</f>
        <v>Late</v>
      </c>
      <c r="AB16" s="14" t="n">
        <f aca="false">IF(AND(N16&lt;&gt;"Cancelled",L16&lt;=AsOf),1,0)</f>
        <v>1</v>
      </c>
      <c r="AC16" s="14" t="n">
        <f aca="false">IF(AND(N16&lt;&gt;"Cancelled",OR(ISNUMBER(M16),N16="Completed")),1,0)</f>
        <v>1</v>
      </c>
      <c r="AD16" s="14" t="n">
        <f aca="false">IF(AND(AC16=1,V16=1,ISNUMBER(M16)),M16-L16,"")</f>
        <v>4</v>
      </c>
      <c r="AE16" s="14" t="str">
        <f aca="false">IF(AD16="","",IF(AD16&lt;0,"Early",IF(AD16=0,"On Time","Late")))</f>
        <v>Late</v>
      </c>
      <c r="AF16" s="14" t="n">
        <f aca="false">IF(AND(T16=1,ISNUMBER(J16),N16&lt;&gt;"Cancelled"),J16-B16,"")</f>
        <v>22</v>
      </c>
      <c r="AG16" s="14" t="n">
        <f aca="false">IF(AND(AF16&lt;&gt;"",Z16&lt;&gt;""),K16-J16,"")</f>
        <v>2</v>
      </c>
      <c r="AH16" s="14" t="n">
        <f aca="false">IF(AND(Z16&lt;&gt;"",AD16&lt;&gt;""),M16-K16,"")</f>
        <v>5</v>
      </c>
      <c r="AI16" s="14" t="n">
        <f aca="false">IF(Z16&lt;&gt;"",K16-B16,"")</f>
        <v>24</v>
      </c>
      <c r="AJ16" s="14" t="n">
        <f aca="false">IF(AND(N16="Completed",AD16&lt;&gt;""),M16-B16,"")</f>
        <v>29</v>
      </c>
      <c r="AK16" s="14" t="str">
        <f aca="false">IF(N16="Cancelled","Cancelled",IF(N16="Completed","Completed",IF(Y16=1,"Awaiting Installation",IF(ISNUMBER(J16),"In Transit","In Production"))))</f>
        <v>Completed</v>
      </c>
      <c r="AL16" s="18" t="n">
        <f aca="false">IF(AND(N16="Pending",OR(AND(Y16=0,I16&lt;AsOf),AND(Y16=1,L16&lt;AsOf))),1,0)</f>
        <v>0</v>
      </c>
      <c r="AM16" s="14" t="str">
        <f aca="false">IF(AL16=1,IF(Y16=0,AsOf-I16,AsOf-L16),"")</f>
        <v/>
      </c>
      <c r="AN16" s="14" t="str">
        <f aca="false">IF(AL16=1,IF(Y16=0,"Delivery","Installation"),"")</f>
        <v/>
      </c>
      <c r="AO16" s="14" t="n">
        <f aca="false">IF(AND(OR(fCat="All",F16=fCat),OR(fCust="All",D16=fCust),OR(fReg="All",E16=fReg)),1,0)</f>
        <v>1</v>
      </c>
      <c r="AP16" s="14" t="n">
        <f aca="false">IF(AND(AL16=1,AO16=1),AM16+ROW()/100000,0)</f>
        <v>0</v>
      </c>
    </row>
    <row r="17" customFormat="false" ht="15" hidden="false" customHeight="false" outlineLevel="0" collapsed="false">
      <c r="A17" s="14" t="s">
        <v>748</v>
      </c>
      <c r="B17" s="15" t="n">
        <v>46056</v>
      </c>
      <c r="C17" s="14" t="s">
        <v>128</v>
      </c>
      <c r="D17" s="14" t="s">
        <v>90</v>
      </c>
      <c r="E17" s="14" t="s">
        <v>66</v>
      </c>
      <c r="F17" s="14" t="s">
        <v>103</v>
      </c>
      <c r="G17" s="14" t="n">
        <v>1</v>
      </c>
      <c r="H17" s="16" t="n">
        <v>574000</v>
      </c>
      <c r="I17" s="15" t="n">
        <v>46081</v>
      </c>
      <c r="J17" s="15" t="n">
        <v>46079</v>
      </c>
      <c r="K17" s="15" t="n">
        <v>46089</v>
      </c>
      <c r="L17" s="15" t="n">
        <v>46086</v>
      </c>
      <c r="M17" s="15" t="n">
        <v>46100</v>
      </c>
      <c r="N17" s="14" t="s">
        <v>75</v>
      </c>
      <c r="O17" s="14" t="s">
        <v>84</v>
      </c>
      <c r="P17" s="14" t="s">
        <v>183</v>
      </c>
      <c r="Q17" s="14"/>
      <c r="R17" s="14"/>
      <c r="S17" s="14" t="s">
        <v>745</v>
      </c>
      <c r="T17" s="14" t="n">
        <v>1</v>
      </c>
      <c r="U17" s="14" t="n">
        <v>1</v>
      </c>
      <c r="V17" s="14" t="n">
        <v>1</v>
      </c>
      <c r="W17" s="17" t="n">
        <f aca="false">DATE(YEAR(B17),MONTH(B17),1)</f>
        <v>46054</v>
      </c>
      <c r="X17" s="14" t="n">
        <f aca="false">IF(AND(N17&lt;&gt;"Cancelled",I17&lt;=AsOf),1,0)</f>
        <v>1</v>
      </c>
      <c r="Y17" s="14" t="n">
        <f aca="false">IF(AND(N17&lt;&gt;"Cancelled",OR(ISNUMBER(K17),N17="Completed")),1,0)</f>
        <v>1</v>
      </c>
      <c r="Z17" s="14" t="n">
        <f aca="false">IF(AND(Y17=1,U17=1,ISNUMBER(K17)),K17-I17,"")</f>
        <v>8</v>
      </c>
      <c r="AA17" s="14" t="str">
        <f aca="false">IF(Z17="","",IF(Z17&lt;0,"Early",IF(Z17=0,"On Time","Late")))</f>
        <v>Late</v>
      </c>
      <c r="AB17" s="14" t="n">
        <f aca="false">IF(AND(N17&lt;&gt;"Cancelled",L17&lt;=AsOf),1,0)</f>
        <v>1</v>
      </c>
      <c r="AC17" s="14" t="n">
        <f aca="false">IF(AND(N17&lt;&gt;"Cancelled",OR(ISNUMBER(M17),N17="Completed")),1,0)</f>
        <v>1</v>
      </c>
      <c r="AD17" s="14" t="n">
        <f aca="false">IF(AND(AC17=1,V17=1,ISNUMBER(M17)),M17-L17,"")</f>
        <v>14</v>
      </c>
      <c r="AE17" s="14" t="str">
        <f aca="false">IF(AD17="","",IF(AD17&lt;0,"Early",IF(AD17=0,"On Time","Late")))</f>
        <v>Late</v>
      </c>
      <c r="AF17" s="14" t="n">
        <f aca="false">IF(AND(T17=1,ISNUMBER(J17),N17&lt;&gt;"Cancelled"),J17-B17,"")</f>
        <v>23</v>
      </c>
      <c r="AG17" s="14" t="n">
        <f aca="false">IF(AND(AF17&lt;&gt;"",Z17&lt;&gt;""),K17-J17,"")</f>
        <v>10</v>
      </c>
      <c r="AH17" s="14" t="n">
        <f aca="false">IF(AND(Z17&lt;&gt;"",AD17&lt;&gt;""),M17-K17,"")</f>
        <v>11</v>
      </c>
      <c r="AI17" s="14" t="n">
        <f aca="false">IF(Z17&lt;&gt;"",K17-B17,"")</f>
        <v>33</v>
      </c>
      <c r="AJ17" s="14" t="n">
        <f aca="false">IF(AND(N17="Completed",AD17&lt;&gt;""),M17-B17,"")</f>
        <v>44</v>
      </c>
      <c r="AK17" s="14" t="str">
        <f aca="false">IF(N17="Cancelled","Cancelled",IF(N17="Completed","Completed",IF(Y17=1,"Awaiting Installation",IF(ISNUMBER(J17),"In Transit","In Production"))))</f>
        <v>Completed</v>
      </c>
      <c r="AL17" s="18" t="n">
        <f aca="false">IF(AND(N17="Pending",OR(AND(Y17=0,I17&lt;AsOf),AND(Y17=1,L17&lt;AsOf))),1,0)</f>
        <v>0</v>
      </c>
      <c r="AM17" s="14" t="str">
        <f aca="false">IF(AL17=1,IF(Y17=0,AsOf-I17,AsOf-L17),"")</f>
        <v/>
      </c>
      <c r="AN17" s="14" t="str">
        <f aca="false">IF(AL17=1,IF(Y17=0,"Delivery","Installation"),"")</f>
        <v/>
      </c>
      <c r="AO17" s="14" t="n">
        <f aca="false">IF(AND(OR(fCat="All",F17=fCat),OR(fCust="All",D17=fCust),OR(fReg="All",E17=fReg)),1,0)</f>
        <v>1</v>
      </c>
      <c r="AP17" s="14" t="n">
        <f aca="false">IF(AND(AL17=1,AO17=1),AM17+ROW()/100000,0)</f>
        <v>0</v>
      </c>
    </row>
    <row r="18" customFormat="false" ht="15" hidden="false" customHeight="false" outlineLevel="0" collapsed="false">
      <c r="A18" s="14" t="s">
        <v>184</v>
      </c>
      <c r="B18" s="15" t="n">
        <v>46056</v>
      </c>
      <c r="C18" s="14" t="s">
        <v>185</v>
      </c>
      <c r="D18" s="14" t="s">
        <v>90</v>
      </c>
      <c r="E18" s="14" t="s">
        <v>91</v>
      </c>
      <c r="F18" s="14" t="s">
        <v>121</v>
      </c>
      <c r="G18" s="14" t="n">
        <v>2</v>
      </c>
      <c r="H18" s="16" t="n">
        <v>2040000</v>
      </c>
      <c r="I18" s="15" t="n">
        <v>46086</v>
      </c>
      <c r="J18" s="15" t="n">
        <v>46064</v>
      </c>
      <c r="K18" s="15" t="n">
        <v>46066</v>
      </c>
      <c r="L18" s="15" t="n">
        <v>46091</v>
      </c>
      <c r="M18" s="15"/>
      <c r="N18" s="14" t="s">
        <v>188</v>
      </c>
      <c r="O18" s="14"/>
      <c r="P18" s="14"/>
      <c r="Q18" s="14" t="s">
        <v>189</v>
      </c>
      <c r="R18" s="14" t="s">
        <v>190</v>
      </c>
      <c r="S18" s="14" t="s">
        <v>749</v>
      </c>
      <c r="T18" s="14" t="n">
        <v>1</v>
      </c>
      <c r="U18" s="14" t="n">
        <v>0</v>
      </c>
      <c r="V18" s="14" t="n">
        <v>1</v>
      </c>
      <c r="W18" s="17" t="n">
        <f aca="false">DATE(YEAR(B18),MONTH(B18),1)</f>
        <v>46054</v>
      </c>
      <c r="X18" s="14" t="n">
        <f aca="false">IF(AND(N18&lt;&gt;"Cancelled",I18&lt;=AsOf),1,0)</f>
        <v>0</v>
      </c>
      <c r="Y18" s="14" t="n">
        <f aca="false">IF(AND(N18&lt;&gt;"Cancelled",OR(ISNUMBER(K18),N18="Completed")),1,0)</f>
        <v>0</v>
      </c>
      <c r="Z18" s="14" t="str">
        <f aca="false">IF(AND(Y18=1,U18=1,ISNUMBER(K18)),K18-I18,"")</f>
        <v/>
      </c>
      <c r="AA18" s="14" t="str">
        <f aca="false">IF(Z18="","",IF(Z18&lt;0,"Early",IF(Z18=0,"On Time","Late")))</f>
        <v/>
      </c>
      <c r="AB18" s="14" t="n">
        <f aca="false">IF(AND(N18&lt;&gt;"Cancelled",L18&lt;=AsOf),1,0)</f>
        <v>0</v>
      </c>
      <c r="AC18" s="14" t="n">
        <f aca="false">IF(AND(N18&lt;&gt;"Cancelled",OR(ISNUMBER(M18),N18="Completed")),1,0)</f>
        <v>0</v>
      </c>
      <c r="AD18" s="14" t="str">
        <f aca="false">IF(AND(AC18=1,V18=1,ISNUMBER(M18)),M18-L18,"")</f>
        <v/>
      </c>
      <c r="AE18" s="14" t="str">
        <f aca="false">IF(AD18="","",IF(AD18&lt;0,"Early",IF(AD18=0,"On Time","Late")))</f>
        <v/>
      </c>
      <c r="AF18" s="14" t="str">
        <f aca="false">IF(AND(T18=1,ISNUMBER(J18),N18&lt;&gt;"Cancelled"),J18-B18,"")</f>
        <v/>
      </c>
      <c r="AG18" s="14" t="str">
        <f aca="false">IF(AND(AF18&lt;&gt;"",Z18&lt;&gt;""),K18-J18,"")</f>
        <v/>
      </c>
      <c r="AH18" s="14" t="str">
        <f aca="false">IF(AND(Z18&lt;&gt;"",AD18&lt;&gt;""),M18-K18,"")</f>
        <v/>
      </c>
      <c r="AI18" s="14" t="str">
        <f aca="false">IF(Z18&lt;&gt;"",K18-B18,"")</f>
        <v/>
      </c>
      <c r="AJ18" s="14" t="str">
        <f aca="false">IF(AND(N18="Completed",AD18&lt;&gt;""),M18-B18,"")</f>
        <v/>
      </c>
      <c r="AK18" s="14" t="str">
        <f aca="false">IF(N18="Cancelled","Cancelled",IF(N18="Completed","Completed",IF(Y18=1,"Awaiting Installation",IF(ISNUMBER(J18),"In Transit","In Production"))))</f>
        <v>Cancelled</v>
      </c>
      <c r="AL18" s="18" t="n">
        <f aca="false">IF(AND(N18="Pending",OR(AND(Y18=0,I18&lt;AsOf),AND(Y18=1,L18&lt;AsOf))),1,0)</f>
        <v>0</v>
      </c>
      <c r="AM18" s="14" t="str">
        <f aca="false">IF(AL18=1,IF(Y18=0,AsOf-I18,AsOf-L18),"")</f>
        <v/>
      </c>
      <c r="AN18" s="14" t="str">
        <f aca="false">IF(AL18=1,IF(Y18=0,"Delivery","Installation"),"")</f>
        <v/>
      </c>
      <c r="AO18" s="14" t="n">
        <f aca="false">IF(AND(OR(fCat="All",F18=fCat),OR(fCust="All",D18=fCust),OR(fReg="All",E18=fReg)),1,0)</f>
        <v>1</v>
      </c>
      <c r="AP18" s="14" t="n">
        <f aca="false">IF(AND(AL18=1,AO18=1),AM18+ROW()/100000,0)</f>
        <v>0</v>
      </c>
    </row>
    <row r="19" customFormat="false" ht="15" hidden="false" customHeight="false" outlineLevel="0" collapsed="false">
      <c r="A19" s="14" t="s">
        <v>191</v>
      </c>
      <c r="B19" s="15" t="n">
        <v>46056</v>
      </c>
      <c r="C19" s="14" t="s">
        <v>192</v>
      </c>
      <c r="D19" s="14" t="s">
        <v>90</v>
      </c>
      <c r="E19" s="14" t="s">
        <v>102</v>
      </c>
      <c r="F19" s="14" t="s">
        <v>121</v>
      </c>
      <c r="G19" s="14" t="n">
        <v>1</v>
      </c>
      <c r="H19" s="16" t="n">
        <v>1311000</v>
      </c>
      <c r="I19" s="15" t="n">
        <v>46088</v>
      </c>
      <c r="J19" s="15" t="n">
        <v>46085</v>
      </c>
      <c r="K19" s="15" t="n">
        <v>46089</v>
      </c>
      <c r="L19" s="15" t="n">
        <v>46093</v>
      </c>
      <c r="M19" s="15" t="n">
        <v>46094</v>
      </c>
      <c r="N19" s="14" t="s">
        <v>75</v>
      </c>
      <c r="O19" s="14" t="s">
        <v>110</v>
      </c>
      <c r="P19" s="14" t="s">
        <v>85</v>
      </c>
      <c r="Q19" s="14"/>
      <c r="R19" s="14"/>
      <c r="S19" s="14" t="s">
        <v>745</v>
      </c>
      <c r="T19" s="14" t="n">
        <v>1</v>
      </c>
      <c r="U19" s="14" t="n">
        <v>1</v>
      </c>
      <c r="V19" s="14" t="n">
        <v>1</v>
      </c>
      <c r="W19" s="17" t="n">
        <f aca="false">DATE(YEAR(B19),MONTH(B19),1)</f>
        <v>46054</v>
      </c>
      <c r="X19" s="14" t="n">
        <f aca="false">IF(AND(N19&lt;&gt;"Cancelled",I19&lt;=AsOf),1,0)</f>
        <v>1</v>
      </c>
      <c r="Y19" s="14" t="n">
        <f aca="false">IF(AND(N19&lt;&gt;"Cancelled",OR(ISNUMBER(K19),N19="Completed")),1,0)</f>
        <v>1</v>
      </c>
      <c r="Z19" s="14" t="n">
        <f aca="false">IF(AND(Y19=1,U19=1,ISNUMBER(K19)),K19-I19,"")</f>
        <v>1</v>
      </c>
      <c r="AA19" s="14" t="str">
        <f aca="false">IF(Z19="","",IF(Z19&lt;0,"Early",IF(Z19=0,"On Time","Late")))</f>
        <v>Late</v>
      </c>
      <c r="AB19" s="14" t="n">
        <f aca="false">IF(AND(N19&lt;&gt;"Cancelled",L19&lt;=AsOf),1,0)</f>
        <v>1</v>
      </c>
      <c r="AC19" s="14" t="n">
        <f aca="false">IF(AND(N19&lt;&gt;"Cancelled",OR(ISNUMBER(M19),N19="Completed")),1,0)</f>
        <v>1</v>
      </c>
      <c r="AD19" s="14" t="n">
        <f aca="false">IF(AND(AC19=1,V19=1,ISNUMBER(M19)),M19-L19,"")</f>
        <v>1</v>
      </c>
      <c r="AE19" s="14" t="str">
        <f aca="false">IF(AD19="","",IF(AD19&lt;0,"Early",IF(AD19=0,"On Time","Late")))</f>
        <v>Late</v>
      </c>
      <c r="AF19" s="14" t="n">
        <f aca="false">IF(AND(T19=1,ISNUMBER(J19),N19&lt;&gt;"Cancelled"),J19-B19,"")</f>
        <v>29</v>
      </c>
      <c r="AG19" s="14" t="n">
        <f aca="false">IF(AND(AF19&lt;&gt;"",Z19&lt;&gt;""),K19-J19,"")</f>
        <v>4</v>
      </c>
      <c r="AH19" s="14" t="n">
        <f aca="false">IF(AND(Z19&lt;&gt;"",AD19&lt;&gt;""),M19-K19,"")</f>
        <v>5</v>
      </c>
      <c r="AI19" s="14" t="n">
        <f aca="false">IF(Z19&lt;&gt;"",K19-B19,"")</f>
        <v>33</v>
      </c>
      <c r="AJ19" s="14" t="n">
        <f aca="false">IF(AND(N19="Completed",AD19&lt;&gt;""),M19-B19,"")</f>
        <v>38</v>
      </c>
      <c r="AK19" s="14" t="str">
        <f aca="false">IF(N19="Cancelled","Cancelled",IF(N19="Completed","Completed",IF(Y19=1,"Awaiting Installation",IF(ISNUMBER(J19),"In Transit","In Production"))))</f>
        <v>Completed</v>
      </c>
      <c r="AL19" s="18" t="n">
        <f aca="false">IF(AND(N19="Pending",OR(AND(Y19=0,I19&lt;AsOf),AND(Y19=1,L19&lt;AsOf))),1,0)</f>
        <v>0</v>
      </c>
      <c r="AM19" s="14" t="str">
        <f aca="false">IF(AL19=1,IF(Y19=0,AsOf-I19,AsOf-L19),"")</f>
        <v/>
      </c>
      <c r="AN19" s="14" t="str">
        <f aca="false">IF(AL19=1,IF(Y19=0,"Delivery","Installation"),"")</f>
        <v/>
      </c>
      <c r="AO19" s="14" t="n">
        <f aca="false">IF(AND(OR(fCat="All",F19=fCat),OR(fCust="All",D19=fCust),OR(fReg="All",E19=fReg)),1,0)</f>
        <v>1</v>
      </c>
      <c r="AP19" s="14" t="n">
        <f aca="false">IF(AND(AL19=1,AO19=1),AM19+ROW()/100000,0)</f>
        <v>0</v>
      </c>
    </row>
    <row r="20" customFormat="false" ht="15" hidden="false" customHeight="false" outlineLevel="0" collapsed="false">
      <c r="A20" s="14" t="s">
        <v>198</v>
      </c>
      <c r="B20" s="15" t="n">
        <v>46060</v>
      </c>
      <c r="C20" s="14" t="s">
        <v>199</v>
      </c>
      <c r="D20" s="14" t="s">
        <v>90</v>
      </c>
      <c r="E20" s="14" t="s">
        <v>91</v>
      </c>
      <c r="F20" s="14" t="s">
        <v>103</v>
      </c>
      <c r="G20" s="14" t="n">
        <v>2</v>
      </c>
      <c r="H20" s="16" t="n">
        <v>1122000</v>
      </c>
      <c r="I20" s="15" t="n">
        <v>46081</v>
      </c>
      <c r="J20" s="15" t="n">
        <v>46078</v>
      </c>
      <c r="K20" s="15" t="n">
        <v>46079</v>
      </c>
      <c r="L20" s="15" t="n">
        <v>46086</v>
      </c>
      <c r="M20" s="15" t="n">
        <v>46093</v>
      </c>
      <c r="N20" s="14" t="s">
        <v>75</v>
      </c>
      <c r="O20" s="14"/>
      <c r="P20" s="14"/>
      <c r="Q20" s="14"/>
      <c r="R20" s="14"/>
      <c r="S20" s="14" t="s">
        <v>745</v>
      </c>
      <c r="T20" s="14" t="n">
        <v>1</v>
      </c>
      <c r="U20" s="14" t="n">
        <v>1</v>
      </c>
      <c r="V20" s="14" t="n">
        <v>1</v>
      </c>
      <c r="W20" s="17" t="n">
        <f aca="false">DATE(YEAR(B20),MONTH(B20),1)</f>
        <v>46054</v>
      </c>
      <c r="X20" s="14" t="n">
        <f aca="false">IF(AND(N20&lt;&gt;"Cancelled",I20&lt;=AsOf),1,0)</f>
        <v>1</v>
      </c>
      <c r="Y20" s="14" t="n">
        <f aca="false">IF(AND(N20&lt;&gt;"Cancelled",OR(ISNUMBER(K20),N20="Completed")),1,0)</f>
        <v>1</v>
      </c>
      <c r="Z20" s="14" t="n">
        <f aca="false">IF(AND(Y20=1,U20=1,ISNUMBER(K20)),K20-I20,"")</f>
        <v>-2</v>
      </c>
      <c r="AA20" s="14" t="str">
        <f aca="false">IF(Z20="","",IF(Z20&lt;0,"Early",IF(Z20=0,"On Time","Late")))</f>
        <v>Early</v>
      </c>
      <c r="AB20" s="14" t="n">
        <f aca="false">IF(AND(N20&lt;&gt;"Cancelled",L20&lt;=AsOf),1,0)</f>
        <v>1</v>
      </c>
      <c r="AC20" s="14" t="n">
        <f aca="false">IF(AND(N20&lt;&gt;"Cancelled",OR(ISNUMBER(M20),N20="Completed")),1,0)</f>
        <v>1</v>
      </c>
      <c r="AD20" s="14" t="n">
        <f aca="false">IF(AND(AC20=1,V20=1,ISNUMBER(M20)),M20-L20,"")</f>
        <v>7</v>
      </c>
      <c r="AE20" s="14" t="str">
        <f aca="false">IF(AD20="","",IF(AD20&lt;0,"Early",IF(AD20=0,"On Time","Late")))</f>
        <v>Late</v>
      </c>
      <c r="AF20" s="14" t="n">
        <f aca="false">IF(AND(T20=1,ISNUMBER(J20),N20&lt;&gt;"Cancelled"),J20-B20,"")</f>
        <v>18</v>
      </c>
      <c r="AG20" s="14" t="n">
        <f aca="false">IF(AND(AF20&lt;&gt;"",Z20&lt;&gt;""),K20-J20,"")</f>
        <v>1</v>
      </c>
      <c r="AH20" s="14" t="n">
        <f aca="false">IF(AND(Z20&lt;&gt;"",AD20&lt;&gt;""),M20-K20,"")</f>
        <v>14</v>
      </c>
      <c r="AI20" s="14" t="n">
        <f aca="false">IF(Z20&lt;&gt;"",K20-B20,"")</f>
        <v>19</v>
      </c>
      <c r="AJ20" s="14" t="n">
        <f aca="false">IF(AND(N20="Completed",AD20&lt;&gt;""),M20-B20,"")</f>
        <v>33</v>
      </c>
      <c r="AK20" s="14" t="str">
        <f aca="false">IF(N20="Cancelled","Cancelled",IF(N20="Completed","Completed",IF(Y20=1,"Awaiting Installation",IF(ISNUMBER(J20),"In Transit","In Production"))))</f>
        <v>Completed</v>
      </c>
      <c r="AL20" s="18" t="n">
        <f aca="false">IF(AND(N20="Pending",OR(AND(Y20=0,I20&lt;AsOf),AND(Y20=1,L20&lt;AsOf))),1,0)</f>
        <v>0</v>
      </c>
      <c r="AM20" s="14" t="str">
        <f aca="false">IF(AL20=1,IF(Y20=0,AsOf-I20,AsOf-L20),"")</f>
        <v/>
      </c>
      <c r="AN20" s="14" t="str">
        <f aca="false">IF(AL20=1,IF(Y20=0,"Delivery","Installation"),"")</f>
        <v/>
      </c>
      <c r="AO20" s="14" t="n">
        <f aca="false">IF(AND(OR(fCat="All",F20=fCat),OR(fCust="All",D20=fCust),OR(fReg="All",E20=fReg)),1,0)</f>
        <v>1</v>
      </c>
      <c r="AP20" s="14" t="n">
        <f aca="false">IF(AND(AL20=1,AO20=1),AM20+ROW()/100000,0)</f>
        <v>0</v>
      </c>
    </row>
    <row r="21" customFormat="false" ht="15" hidden="false" customHeight="false" outlineLevel="0" collapsed="false">
      <c r="A21" s="14" t="s">
        <v>201</v>
      </c>
      <c r="B21" s="15" t="n">
        <v>46060</v>
      </c>
      <c r="C21" s="14" t="s">
        <v>202</v>
      </c>
      <c r="D21" s="14" t="s">
        <v>149</v>
      </c>
      <c r="E21" s="14" t="s">
        <v>66</v>
      </c>
      <c r="F21" s="14" t="s">
        <v>160</v>
      </c>
      <c r="G21" s="14" t="n">
        <v>1</v>
      </c>
      <c r="H21" s="16" t="n">
        <v>160000</v>
      </c>
      <c r="I21" s="15" t="n">
        <v>46074</v>
      </c>
      <c r="J21" s="15" t="n">
        <v>46065</v>
      </c>
      <c r="K21" s="15" t="n">
        <v>46074</v>
      </c>
      <c r="L21" s="15" t="n">
        <v>46077</v>
      </c>
      <c r="M21" s="15" t="n">
        <v>46079</v>
      </c>
      <c r="N21" s="14" t="s">
        <v>75</v>
      </c>
      <c r="O21" s="14"/>
      <c r="P21" s="14" t="s">
        <v>111</v>
      </c>
      <c r="Q21" s="14"/>
      <c r="R21" s="14" t="s">
        <v>134</v>
      </c>
      <c r="S21" s="14" t="s">
        <v>745</v>
      </c>
      <c r="T21" s="14" t="n">
        <v>1</v>
      </c>
      <c r="U21" s="14" t="n">
        <v>1</v>
      </c>
      <c r="V21" s="14" t="n">
        <v>1</v>
      </c>
      <c r="W21" s="17" t="n">
        <f aca="false">DATE(YEAR(B21),MONTH(B21),1)</f>
        <v>46054</v>
      </c>
      <c r="X21" s="14" t="n">
        <f aca="false">IF(AND(N21&lt;&gt;"Cancelled",I21&lt;=AsOf),1,0)</f>
        <v>1</v>
      </c>
      <c r="Y21" s="14" t="n">
        <f aca="false">IF(AND(N21&lt;&gt;"Cancelled",OR(ISNUMBER(K21),N21="Completed")),1,0)</f>
        <v>1</v>
      </c>
      <c r="Z21" s="14" t="n">
        <f aca="false">IF(AND(Y21=1,U21=1,ISNUMBER(K21)),K21-I21,"")</f>
        <v>0</v>
      </c>
      <c r="AA21" s="14" t="str">
        <f aca="false">IF(Z21="","",IF(Z21&lt;0,"Early",IF(Z21=0,"On Time","Late")))</f>
        <v>On Time</v>
      </c>
      <c r="AB21" s="14" t="n">
        <f aca="false">IF(AND(N21&lt;&gt;"Cancelled",L21&lt;=AsOf),1,0)</f>
        <v>1</v>
      </c>
      <c r="AC21" s="14" t="n">
        <f aca="false">IF(AND(N21&lt;&gt;"Cancelled",OR(ISNUMBER(M21),N21="Completed")),1,0)</f>
        <v>1</v>
      </c>
      <c r="AD21" s="14" t="n">
        <f aca="false">IF(AND(AC21=1,V21=1,ISNUMBER(M21)),M21-L21,"")</f>
        <v>2</v>
      </c>
      <c r="AE21" s="14" t="str">
        <f aca="false">IF(AD21="","",IF(AD21&lt;0,"Early",IF(AD21=0,"On Time","Late")))</f>
        <v>Late</v>
      </c>
      <c r="AF21" s="14" t="n">
        <f aca="false">IF(AND(T21=1,ISNUMBER(J21),N21&lt;&gt;"Cancelled"),J21-B21,"")</f>
        <v>5</v>
      </c>
      <c r="AG21" s="14" t="n">
        <f aca="false">IF(AND(AF21&lt;&gt;"",Z21&lt;&gt;""),K21-J21,"")</f>
        <v>9</v>
      </c>
      <c r="AH21" s="14" t="n">
        <f aca="false">IF(AND(Z21&lt;&gt;"",AD21&lt;&gt;""),M21-K21,"")</f>
        <v>5</v>
      </c>
      <c r="AI21" s="14" t="n">
        <f aca="false">IF(Z21&lt;&gt;"",K21-B21,"")</f>
        <v>14</v>
      </c>
      <c r="AJ21" s="14" t="n">
        <f aca="false">IF(AND(N21="Completed",AD21&lt;&gt;""),M21-B21,"")</f>
        <v>19</v>
      </c>
      <c r="AK21" s="14" t="str">
        <f aca="false">IF(N21="Cancelled","Cancelled",IF(N21="Completed","Completed",IF(Y21=1,"Awaiting Installation",IF(ISNUMBER(J21),"In Transit","In Production"))))</f>
        <v>Completed</v>
      </c>
      <c r="AL21" s="18" t="n">
        <f aca="false">IF(AND(N21="Pending",OR(AND(Y21=0,I21&lt;AsOf),AND(Y21=1,L21&lt;AsOf))),1,0)</f>
        <v>0</v>
      </c>
      <c r="AM21" s="14" t="str">
        <f aca="false">IF(AL21=1,IF(Y21=0,AsOf-I21,AsOf-L21),"")</f>
        <v/>
      </c>
      <c r="AN21" s="14" t="str">
        <f aca="false">IF(AL21=1,IF(Y21=0,"Delivery","Installation"),"")</f>
        <v/>
      </c>
      <c r="AO21" s="14" t="n">
        <f aca="false">IF(AND(OR(fCat="All",F21=fCat),OR(fCust="All",D21=fCust),OR(fReg="All",E21=fReg)),1,0)</f>
        <v>1</v>
      </c>
      <c r="AP21" s="14" t="n">
        <f aca="false">IF(AND(AL21=1,AO21=1),AM21+ROW()/100000,0)</f>
        <v>0</v>
      </c>
    </row>
    <row r="22" customFormat="false" ht="15" hidden="false" customHeight="false" outlineLevel="0" collapsed="false">
      <c r="A22" s="14" t="s">
        <v>205</v>
      </c>
      <c r="B22" s="15" t="n">
        <v>46061</v>
      </c>
      <c r="C22" s="14" t="s">
        <v>206</v>
      </c>
      <c r="D22" s="14" t="s">
        <v>149</v>
      </c>
      <c r="E22" s="14" t="s">
        <v>91</v>
      </c>
      <c r="F22" s="14" t="s">
        <v>160</v>
      </c>
      <c r="G22" s="14" t="n">
        <v>1</v>
      </c>
      <c r="H22" s="16" t="n">
        <v>153000</v>
      </c>
      <c r="I22" s="15" t="n">
        <v>46071</v>
      </c>
      <c r="J22" s="15" t="n">
        <v>46065</v>
      </c>
      <c r="K22" s="15"/>
      <c r="L22" s="15" t="n">
        <v>46074</v>
      </c>
      <c r="M22" s="15"/>
      <c r="N22" s="14" t="s">
        <v>188</v>
      </c>
      <c r="O22" s="14"/>
      <c r="P22" s="14"/>
      <c r="Q22" s="14" t="s">
        <v>210</v>
      </c>
      <c r="R22" s="14"/>
      <c r="S22" s="14" t="s">
        <v>745</v>
      </c>
      <c r="T22" s="14" t="n">
        <v>1</v>
      </c>
      <c r="U22" s="14" t="n">
        <v>1</v>
      </c>
      <c r="V22" s="14" t="n">
        <v>1</v>
      </c>
      <c r="W22" s="17" t="n">
        <f aca="false">DATE(YEAR(B22),MONTH(B22),1)</f>
        <v>46054</v>
      </c>
      <c r="X22" s="14" t="n">
        <f aca="false">IF(AND(N22&lt;&gt;"Cancelled",I22&lt;=AsOf),1,0)</f>
        <v>0</v>
      </c>
      <c r="Y22" s="14" t="n">
        <f aca="false">IF(AND(N22&lt;&gt;"Cancelled",OR(ISNUMBER(K22),N22="Completed")),1,0)</f>
        <v>0</v>
      </c>
      <c r="Z22" s="14" t="str">
        <f aca="false">IF(AND(Y22=1,U22=1,ISNUMBER(K22)),K22-I22,"")</f>
        <v/>
      </c>
      <c r="AA22" s="14" t="str">
        <f aca="false">IF(Z22="","",IF(Z22&lt;0,"Early",IF(Z22=0,"On Time","Late")))</f>
        <v/>
      </c>
      <c r="AB22" s="14" t="n">
        <f aca="false">IF(AND(N22&lt;&gt;"Cancelled",L22&lt;=AsOf),1,0)</f>
        <v>0</v>
      </c>
      <c r="AC22" s="14" t="n">
        <f aca="false">IF(AND(N22&lt;&gt;"Cancelled",OR(ISNUMBER(M22),N22="Completed")),1,0)</f>
        <v>0</v>
      </c>
      <c r="AD22" s="14" t="str">
        <f aca="false">IF(AND(AC22=1,V22=1,ISNUMBER(M22)),M22-L22,"")</f>
        <v/>
      </c>
      <c r="AE22" s="14" t="str">
        <f aca="false">IF(AD22="","",IF(AD22&lt;0,"Early",IF(AD22=0,"On Time","Late")))</f>
        <v/>
      </c>
      <c r="AF22" s="14" t="str">
        <f aca="false">IF(AND(T22=1,ISNUMBER(J22),N22&lt;&gt;"Cancelled"),J22-B22,"")</f>
        <v/>
      </c>
      <c r="AG22" s="14" t="str">
        <f aca="false">IF(AND(AF22&lt;&gt;"",Z22&lt;&gt;""),K22-J22,"")</f>
        <v/>
      </c>
      <c r="AH22" s="14" t="str">
        <f aca="false">IF(AND(Z22&lt;&gt;"",AD22&lt;&gt;""),M22-K22,"")</f>
        <v/>
      </c>
      <c r="AI22" s="14" t="str">
        <f aca="false">IF(Z22&lt;&gt;"",K22-B22,"")</f>
        <v/>
      </c>
      <c r="AJ22" s="14" t="str">
        <f aca="false">IF(AND(N22="Completed",AD22&lt;&gt;""),M22-B22,"")</f>
        <v/>
      </c>
      <c r="AK22" s="14" t="str">
        <f aca="false">IF(N22="Cancelled","Cancelled",IF(N22="Completed","Completed",IF(Y22=1,"Awaiting Installation",IF(ISNUMBER(J22),"In Transit","In Production"))))</f>
        <v>Cancelled</v>
      </c>
      <c r="AL22" s="18" t="n">
        <f aca="false">IF(AND(N22="Pending",OR(AND(Y22=0,I22&lt;AsOf),AND(Y22=1,L22&lt;AsOf))),1,0)</f>
        <v>0</v>
      </c>
      <c r="AM22" s="14" t="str">
        <f aca="false">IF(AL22=1,IF(Y22=0,AsOf-I22,AsOf-L22),"")</f>
        <v/>
      </c>
      <c r="AN22" s="14" t="str">
        <f aca="false">IF(AL22=1,IF(Y22=0,"Delivery","Installation"),"")</f>
        <v/>
      </c>
      <c r="AO22" s="14" t="n">
        <f aca="false">IF(AND(OR(fCat="All",F22=fCat),OR(fCust="All",D22=fCust),OR(fReg="All",E22=fReg)),1,0)</f>
        <v>1</v>
      </c>
      <c r="AP22" s="14" t="n">
        <f aca="false">IF(AND(AL22=1,AO22=1),AM22+ROW()/100000,0)</f>
        <v>0</v>
      </c>
    </row>
    <row r="23" customFormat="false" ht="15" hidden="false" customHeight="false" outlineLevel="0" collapsed="false">
      <c r="A23" s="14" t="s">
        <v>211</v>
      </c>
      <c r="B23" s="15" t="n">
        <v>46062</v>
      </c>
      <c r="C23" s="14" t="s">
        <v>212</v>
      </c>
      <c r="D23" s="14" t="s">
        <v>90</v>
      </c>
      <c r="E23" s="14" t="s">
        <v>91</v>
      </c>
      <c r="F23" s="14" t="s">
        <v>150</v>
      </c>
      <c r="G23" s="14" t="n">
        <v>2</v>
      </c>
      <c r="H23" s="16" t="n">
        <v>870000</v>
      </c>
      <c r="I23" s="15" t="n">
        <v>46076</v>
      </c>
      <c r="J23" s="15" t="n">
        <v>46070</v>
      </c>
      <c r="K23" s="15" t="n">
        <v>46071</v>
      </c>
      <c r="L23" s="15" t="n">
        <v>46079</v>
      </c>
      <c r="M23" s="15" t="n">
        <v>46073</v>
      </c>
      <c r="N23" s="14" t="s">
        <v>75</v>
      </c>
      <c r="O23" s="14"/>
      <c r="P23" s="14"/>
      <c r="Q23" s="14"/>
      <c r="R23" s="14" t="s">
        <v>98</v>
      </c>
      <c r="S23" s="14" t="s">
        <v>745</v>
      </c>
      <c r="T23" s="14" t="n">
        <v>1</v>
      </c>
      <c r="U23" s="14" t="n">
        <v>1</v>
      </c>
      <c r="V23" s="14" t="n">
        <v>1</v>
      </c>
      <c r="W23" s="17" t="n">
        <f aca="false">DATE(YEAR(B23),MONTH(B23),1)</f>
        <v>46054</v>
      </c>
      <c r="X23" s="14" t="n">
        <f aca="false">IF(AND(N23&lt;&gt;"Cancelled",I23&lt;=AsOf),1,0)</f>
        <v>1</v>
      </c>
      <c r="Y23" s="14" t="n">
        <f aca="false">IF(AND(N23&lt;&gt;"Cancelled",OR(ISNUMBER(K23),N23="Completed")),1,0)</f>
        <v>1</v>
      </c>
      <c r="Z23" s="14" t="n">
        <f aca="false">IF(AND(Y23=1,U23=1,ISNUMBER(K23)),K23-I23,"")</f>
        <v>-5</v>
      </c>
      <c r="AA23" s="14" t="str">
        <f aca="false">IF(Z23="","",IF(Z23&lt;0,"Early",IF(Z23=0,"On Time","Late")))</f>
        <v>Early</v>
      </c>
      <c r="AB23" s="14" t="n">
        <f aca="false">IF(AND(N23&lt;&gt;"Cancelled",L23&lt;=AsOf),1,0)</f>
        <v>1</v>
      </c>
      <c r="AC23" s="14" t="n">
        <f aca="false">IF(AND(N23&lt;&gt;"Cancelled",OR(ISNUMBER(M23),N23="Completed")),1,0)</f>
        <v>1</v>
      </c>
      <c r="AD23" s="14" t="n">
        <f aca="false">IF(AND(AC23=1,V23=1,ISNUMBER(M23)),M23-L23,"")</f>
        <v>-6</v>
      </c>
      <c r="AE23" s="14" t="str">
        <f aca="false">IF(AD23="","",IF(AD23&lt;0,"Early",IF(AD23=0,"On Time","Late")))</f>
        <v>Early</v>
      </c>
      <c r="AF23" s="14" t="n">
        <f aca="false">IF(AND(T23=1,ISNUMBER(J23),N23&lt;&gt;"Cancelled"),J23-B23,"")</f>
        <v>8</v>
      </c>
      <c r="AG23" s="14" t="n">
        <f aca="false">IF(AND(AF23&lt;&gt;"",Z23&lt;&gt;""),K23-J23,"")</f>
        <v>1</v>
      </c>
      <c r="AH23" s="14" t="n">
        <f aca="false">IF(AND(Z23&lt;&gt;"",AD23&lt;&gt;""),M23-K23,"")</f>
        <v>2</v>
      </c>
      <c r="AI23" s="14" t="n">
        <f aca="false">IF(Z23&lt;&gt;"",K23-B23,"")</f>
        <v>9</v>
      </c>
      <c r="AJ23" s="14" t="n">
        <f aca="false">IF(AND(N23="Completed",AD23&lt;&gt;""),M23-B23,"")</f>
        <v>11</v>
      </c>
      <c r="AK23" s="14" t="str">
        <f aca="false">IF(N23="Cancelled","Cancelled",IF(N23="Completed","Completed",IF(Y23=1,"Awaiting Installation",IF(ISNUMBER(J23),"In Transit","In Production"))))</f>
        <v>Completed</v>
      </c>
      <c r="AL23" s="18" t="n">
        <f aca="false">IF(AND(N23="Pending",OR(AND(Y23=0,I23&lt;AsOf),AND(Y23=1,L23&lt;AsOf))),1,0)</f>
        <v>0</v>
      </c>
      <c r="AM23" s="14" t="str">
        <f aca="false">IF(AL23=1,IF(Y23=0,AsOf-I23,AsOf-L23),"")</f>
        <v/>
      </c>
      <c r="AN23" s="14" t="str">
        <f aca="false">IF(AL23=1,IF(Y23=0,"Delivery","Installation"),"")</f>
        <v/>
      </c>
      <c r="AO23" s="14" t="n">
        <f aca="false">IF(AND(OR(fCat="All",F23=fCat),OR(fCust="All",D23=fCust),OR(fReg="All",E23=fReg)),1,0)</f>
        <v>1</v>
      </c>
      <c r="AP23" s="14" t="n">
        <f aca="false">IF(AND(AL23=1,AO23=1),AM23+ROW()/100000,0)</f>
        <v>0</v>
      </c>
    </row>
    <row r="24" customFormat="false" ht="15" hidden="false" customHeight="false" outlineLevel="0" collapsed="false">
      <c r="A24" s="14" t="s">
        <v>216</v>
      </c>
      <c r="B24" s="15" t="n">
        <v>46063</v>
      </c>
      <c r="C24" s="14" t="s">
        <v>217</v>
      </c>
      <c r="D24" s="14" t="s">
        <v>65</v>
      </c>
      <c r="E24" s="14" t="s">
        <v>91</v>
      </c>
      <c r="F24" s="14" t="s">
        <v>121</v>
      </c>
      <c r="G24" s="14" t="n">
        <v>2</v>
      </c>
      <c r="H24" s="16" t="n">
        <v>1898000</v>
      </c>
      <c r="I24" s="15" t="n">
        <v>46093</v>
      </c>
      <c r="J24" s="15"/>
      <c r="K24" s="15"/>
      <c r="L24" s="15" t="n">
        <v>46098</v>
      </c>
      <c r="M24" s="15"/>
      <c r="N24" s="14" t="s">
        <v>188</v>
      </c>
      <c r="O24" s="14"/>
      <c r="P24" s="14"/>
      <c r="Q24" s="14" t="s">
        <v>220</v>
      </c>
      <c r="R24" s="14" t="s">
        <v>134</v>
      </c>
      <c r="S24" s="14" t="s">
        <v>745</v>
      </c>
      <c r="T24" s="14" t="n">
        <v>1</v>
      </c>
      <c r="U24" s="14" t="n">
        <v>1</v>
      </c>
      <c r="V24" s="14" t="n">
        <v>1</v>
      </c>
      <c r="W24" s="17" t="n">
        <f aca="false">DATE(YEAR(B24),MONTH(B24),1)</f>
        <v>46054</v>
      </c>
      <c r="X24" s="14" t="n">
        <f aca="false">IF(AND(N24&lt;&gt;"Cancelled",I24&lt;=AsOf),1,0)</f>
        <v>0</v>
      </c>
      <c r="Y24" s="14" t="n">
        <f aca="false">IF(AND(N24&lt;&gt;"Cancelled",OR(ISNUMBER(K24),N24="Completed")),1,0)</f>
        <v>0</v>
      </c>
      <c r="Z24" s="14" t="str">
        <f aca="false">IF(AND(Y24=1,U24=1,ISNUMBER(K24)),K24-I24,"")</f>
        <v/>
      </c>
      <c r="AA24" s="14" t="str">
        <f aca="false">IF(Z24="","",IF(Z24&lt;0,"Early",IF(Z24=0,"On Time","Late")))</f>
        <v/>
      </c>
      <c r="AB24" s="14" t="n">
        <f aca="false">IF(AND(N24&lt;&gt;"Cancelled",L24&lt;=AsOf),1,0)</f>
        <v>0</v>
      </c>
      <c r="AC24" s="14" t="n">
        <f aca="false">IF(AND(N24&lt;&gt;"Cancelled",OR(ISNUMBER(M24),N24="Completed")),1,0)</f>
        <v>0</v>
      </c>
      <c r="AD24" s="14" t="str">
        <f aca="false">IF(AND(AC24=1,V24=1,ISNUMBER(M24)),M24-L24,"")</f>
        <v/>
      </c>
      <c r="AE24" s="14" t="str">
        <f aca="false">IF(AD24="","",IF(AD24&lt;0,"Early",IF(AD24=0,"On Time","Late")))</f>
        <v/>
      </c>
      <c r="AF24" s="14" t="str">
        <f aca="false">IF(AND(T24=1,ISNUMBER(J24),N24&lt;&gt;"Cancelled"),J24-B24,"")</f>
        <v/>
      </c>
      <c r="AG24" s="14" t="str">
        <f aca="false">IF(AND(AF24&lt;&gt;"",Z24&lt;&gt;""),K24-J24,"")</f>
        <v/>
      </c>
      <c r="AH24" s="14" t="str">
        <f aca="false">IF(AND(Z24&lt;&gt;"",AD24&lt;&gt;""),M24-K24,"")</f>
        <v/>
      </c>
      <c r="AI24" s="14" t="str">
        <f aca="false">IF(Z24&lt;&gt;"",K24-B24,"")</f>
        <v/>
      </c>
      <c r="AJ24" s="14" t="str">
        <f aca="false">IF(AND(N24="Completed",AD24&lt;&gt;""),M24-B24,"")</f>
        <v/>
      </c>
      <c r="AK24" s="14" t="str">
        <f aca="false">IF(N24="Cancelled","Cancelled",IF(N24="Completed","Completed",IF(Y24=1,"Awaiting Installation",IF(ISNUMBER(J24),"In Transit","In Production"))))</f>
        <v>Cancelled</v>
      </c>
      <c r="AL24" s="18" t="n">
        <f aca="false">IF(AND(N24="Pending",OR(AND(Y24=0,I24&lt;AsOf),AND(Y24=1,L24&lt;AsOf))),1,0)</f>
        <v>0</v>
      </c>
      <c r="AM24" s="14" t="str">
        <f aca="false">IF(AL24=1,IF(Y24=0,AsOf-I24,AsOf-L24),"")</f>
        <v/>
      </c>
      <c r="AN24" s="14" t="str">
        <f aca="false">IF(AL24=1,IF(Y24=0,"Delivery","Installation"),"")</f>
        <v/>
      </c>
      <c r="AO24" s="14" t="n">
        <f aca="false">IF(AND(OR(fCat="All",F24=fCat),OR(fCust="All",D24=fCust),OR(fReg="All",E24=fReg)),1,0)</f>
        <v>1</v>
      </c>
      <c r="AP24" s="14" t="n">
        <f aca="false">IF(AND(AL24=1,AO24=1),AM24+ROW()/100000,0)</f>
        <v>0</v>
      </c>
    </row>
    <row r="25" customFormat="false" ht="15" hidden="false" customHeight="false" outlineLevel="0" collapsed="false">
      <c r="A25" s="14" t="s">
        <v>221</v>
      </c>
      <c r="B25" s="15" t="n">
        <v>46064</v>
      </c>
      <c r="C25" s="14" t="s">
        <v>222</v>
      </c>
      <c r="D25" s="14" t="s">
        <v>90</v>
      </c>
      <c r="E25" s="14" t="s">
        <v>91</v>
      </c>
      <c r="F25" s="14" t="s">
        <v>121</v>
      </c>
      <c r="G25" s="14" t="n">
        <v>2</v>
      </c>
      <c r="H25" s="16" t="n">
        <v>1434000</v>
      </c>
      <c r="I25" s="15" t="n">
        <v>46094</v>
      </c>
      <c r="J25" s="15" t="n">
        <v>46086</v>
      </c>
      <c r="K25" s="15" t="n">
        <v>46087</v>
      </c>
      <c r="L25" s="15" t="n">
        <v>46099</v>
      </c>
      <c r="M25" s="15" t="n">
        <v>46100</v>
      </c>
      <c r="N25" s="14" t="s">
        <v>75</v>
      </c>
      <c r="O25" s="14"/>
      <c r="P25" s="14" t="s">
        <v>183</v>
      </c>
      <c r="Q25" s="14"/>
      <c r="R25" s="14" t="s">
        <v>226</v>
      </c>
      <c r="S25" s="14" t="s">
        <v>745</v>
      </c>
      <c r="T25" s="14" t="n">
        <v>1</v>
      </c>
      <c r="U25" s="14" t="n">
        <v>1</v>
      </c>
      <c r="V25" s="14" t="n">
        <v>1</v>
      </c>
      <c r="W25" s="17" t="n">
        <f aca="false">DATE(YEAR(B25),MONTH(B25),1)</f>
        <v>46054</v>
      </c>
      <c r="X25" s="14" t="n">
        <f aca="false">IF(AND(N25&lt;&gt;"Cancelled",I25&lt;=AsOf),1,0)</f>
        <v>1</v>
      </c>
      <c r="Y25" s="14" t="n">
        <f aca="false">IF(AND(N25&lt;&gt;"Cancelled",OR(ISNUMBER(K25),N25="Completed")),1,0)</f>
        <v>1</v>
      </c>
      <c r="Z25" s="14" t="n">
        <f aca="false">IF(AND(Y25=1,U25=1,ISNUMBER(K25)),K25-I25,"")</f>
        <v>-7</v>
      </c>
      <c r="AA25" s="14" t="str">
        <f aca="false">IF(Z25="","",IF(Z25&lt;0,"Early",IF(Z25=0,"On Time","Late")))</f>
        <v>Early</v>
      </c>
      <c r="AB25" s="14" t="n">
        <f aca="false">IF(AND(N25&lt;&gt;"Cancelled",L25&lt;=AsOf),1,0)</f>
        <v>1</v>
      </c>
      <c r="AC25" s="14" t="n">
        <f aca="false">IF(AND(N25&lt;&gt;"Cancelled",OR(ISNUMBER(M25),N25="Completed")),1,0)</f>
        <v>1</v>
      </c>
      <c r="AD25" s="14" t="n">
        <f aca="false">IF(AND(AC25=1,V25=1,ISNUMBER(M25)),M25-L25,"")</f>
        <v>1</v>
      </c>
      <c r="AE25" s="14" t="str">
        <f aca="false">IF(AD25="","",IF(AD25&lt;0,"Early",IF(AD25=0,"On Time","Late")))</f>
        <v>Late</v>
      </c>
      <c r="AF25" s="14" t="n">
        <f aca="false">IF(AND(T25=1,ISNUMBER(J25),N25&lt;&gt;"Cancelled"),J25-B25,"")</f>
        <v>22</v>
      </c>
      <c r="AG25" s="14" t="n">
        <f aca="false">IF(AND(AF25&lt;&gt;"",Z25&lt;&gt;""),K25-J25,"")</f>
        <v>1</v>
      </c>
      <c r="AH25" s="14" t="n">
        <f aca="false">IF(AND(Z25&lt;&gt;"",AD25&lt;&gt;""),M25-K25,"")</f>
        <v>13</v>
      </c>
      <c r="AI25" s="14" t="n">
        <f aca="false">IF(Z25&lt;&gt;"",K25-B25,"")</f>
        <v>23</v>
      </c>
      <c r="AJ25" s="14" t="n">
        <f aca="false">IF(AND(N25="Completed",AD25&lt;&gt;""),M25-B25,"")</f>
        <v>36</v>
      </c>
      <c r="AK25" s="14" t="str">
        <f aca="false">IF(N25="Cancelled","Cancelled",IF(N25="Completed","Completed",IF(Y25=1,"Awaiting Installation",IF(ISNUMBER(J25),"In Transit","In Production"))))</f>
        <v>Completed</v>
      </c>
      <c r="AL25" s="18" t="n">
        <f aca="false">IF(AND(N25="Pending",OR(AND(Y25=0,I25&lt;AsOf),AND(Y25=1,L25&lt;AsOf))),1,0)</f>
        <v>0</v>
      </c>
      <c r="AM25" s="14" t="str">
        <f aca="false">IF(AL25=1,IF(Y25=0,AsOf-I25,AsOf-L25),"")</f>
        <v/>
      </c>
      <c r="AN25" s="14" t="str">
        <f aca="false">IF(AL25=1,IF(Y25=0,"Delivery","Installation"),"")</f>
        <v/>
      </c>
      <c r="AO25" s="14" t="n">
        <f aca="false">IF(AND(OR(fCat="All",F25=fCat),OR(fCust="All",D25=fCust),OR(fReg="All",E25=fReg)),1,0)</f>
        <v>1</v>
      </c>
      <c r="AP25" s="14" t="n">
        <f aca="false">IF(AND(AL25=1,AO25=1),AM25+ROW()/100000,0)</f>
        <v>0</v>
      </c>
    </row>
    <row r="26" customFormat="false" ht="15" hidden="false" customHeight="false" outlineLevel="0" collapsed="false">
      <c r="A26" s="14" t="s">
        <v>227</v>
      </c>
      <c r="B26" s="15" t="n">
        <v>46067</v>
      </c>
      <c r="C26" s="14" t="s">
        <v>206</v>
      </c>
      <c r="D26" s="14" t="s">
        <v>149</v>
      </c>
      <c r="E26" s="14" t="s">
        <v>102</v>
      </c>
      <c r="F26" s="14" t="s">
        <v>160</v>
      </c>
      <c r="G26" s="14" t="n">
        <v>1</v>
      </c>
      <c r="H26" s="16" t="n">
        <v>157000</v>
      </c>
      <c r="I26" s="15" t="n">
        <v>46079</v>
      </c>
      <c r="J26" s="15" t="n">
        <v>46072</v>
      </c>
      <c r="K26" s="15" t="n">
        <v>46075</v>
      </c>
      <c r="L26" s="15" t="n">
        <v>46082</v>
      </c>
      <c r="M26" s="15" t="n">
        <v>46076</v>
      </c>
      <c r="N26" s="14" t="s">
        <v>75</v>
      </c>
      <c r="O26" s="14"/>
      <c r="P26" s="14"/>
      <c r="Q26" s="14"/>
      <c r="R26" s="14" t="s">
        <v>226</v>
      </c>
      <c r="S26" s="14" t="s">
        <v>745</v>
      </c>
      <c r="T26" s="14" t="n">
        <v>1</v>
      </c>
      <c r="U26" s="14" t="n">
        <v>1</v>
      </c>
      <c r="V26" s="14" t="n">
        <v>1</v>
      </c>
      <c r="W26" s="17" t="n">
        <f aca="false">DATE(YEAR(B26),MONTH(B26),1)</f>
        <v>46054</v>
      </c>
      <c r="X26" s="14" t="n">
        <f aca="false">IF(AND(N26&lt;&gt;"Cancelled",I26&lt;=AsOf),1,0)</f>
        <v>1</v>
      </c>
      <c r="Y26" s="14" t="n">
        <f aca="false">IF(AND(N26&lt;&gt;"Cancelled",OR(ISNUMBER(K26),N26="Completed")),1,0)</f>
        <v>1</v>
      </c>
      <c r="Z26" s="14" t="n">
        <f aca="false">IF(AND(Y26=1,U26=1,ISNUMBER(K26)),K26-I26,"")</f>
        <v>-4</v>
      </c>
      <c r="AA26" s="14" t="str">
        <f aca="false">IF(Z26="","",IF(Z26&lt;0,"Early",IF(Z26=0,"On Time","Late")))</f>
        <v>Early</v>
      </c>
      <c r="AB26" s="14" t="n">
        <f aca="false">IF(AND(N26&lt;&gt;"Cancelled",L26&lt;=AsOf),1,0)</f>
        <v>1</v>
      </c>
      <c r="AC26" s="14" t="n">
        <f aca="false">IF(AND(N26&lt;&gt;"Cancelled",OR(ISNUMBER(M26),N26="Completed")),1,0)</f>
        <v>1</v>
      </c>
      <c r="AD26" s="14" t="n">
        <f aca="false">IF(AND(AC26=1,V26=1,ISNUMBER(M26)),M26-L26,"")</f>
        <v>-6</v>
      </c>
      <c r="AE26" s="14" t="str">
        <f aca="false">IF(AD26="","",IF(AD26&lt;0,"Early",IF(AD26=0,"On Time","Late")))</f>
        <v>Early</v>
      </c>
      <c r="AF26" s="14" t="n">
        <f aca="false">IF(AND(T26=1,ISNUMBER(J26),N26&lt;&gt;"Cancelled"),J26-B26,"")</f>
        <v>5</v>
      </c>
      <c r="AG26" s="14" t="n">
        <f aca="false">IF(AND(AF26&lt;&gt;"",Z26&lt;&gt;""),K26-J26,"")</f>
        <v>3</v>
      </c>
      <c r="AH26" s="14" t="n">
        <f aca="false">IF(AND(Z26&lt;&gt;"",AD26&lt;&gt;""),M26-K26,"")</f>
        <v>1</v>
      </c>
      <c r="AI26" s="14" t="n">
        <f aca="false">IF(Z26&lt;&gt;"",K26-B26,"")</f>
        <v>8</v>
      </c>
      <c r="AJ26" s="14" t="n">
        <f aca="false">IF(AND(N26="Completed",AD26&lt;&gt;""),M26-B26,"")</f>
        <v>9</v>
      </c>
      <c r="AK26" s="14" t="str">
        <f aca="false">IF(N26="Cancelled","Cancelled",IF(N26="Completed","Completed",IF(Y26=1,"Awaiting Installation",IF(ISNUMBER(J26),"In Transit","In Production"))))</f>
        <v>Completed</v>
      </c>
      <c r="AL26" s="18" t="n">
        <f aca="false">IF(AND(N26="Pending",OR(AND(Y26=0,I26&lt;AsOf),AND(Y26=1,L26&lt;AsOf))),1,0)</f>
        <v>0</v>
      </c>
      <c r="AM26" s="14" t="str">
        <f aca="false">IF(AL26=1,IF(Y26=0,AsOf-I26,AsOf-L26),"")</f>
        <v/>
      </c>
      <c r="AN26" s="14" t="str">
        <f aca="false">IF(AL26=1,IF(Y26=0,"Delivery","Installation"),"")</f>
        <v/>
      </c>
      <c r="AO26" s="14" t="n">
        <f aca="false">IF(AND(OR(fCat="All",F26=fCat),OR(fCust="All",D26=fCust),OR(fReg="All",E26=fReg)),1,0)</f>
        <v>1</v>
      </c>
      <c r="AP26" s="14" t="n">
        <f aca="false">IF(AND(AL26=1,AO26=1),AM26+ROW()/100000,0)</f>
        <v>0</v>
      </c>
    </row>
    <row r="27" customFormat="false" ht="15" hidden="false" customHeight="false" outlineLevel="0" collapsed="false">
      <c r="A27" s="14" t="s">
        <v>229</v>
      </c>
      <c r="B27" s="15" t="n">
        <v>46067</v>
      </c>
      <c r="C27" s="14" t="s">
        <v>64</v>
      </c>
      <c r="D27" s="14" t="s">
        <v>90</v>
      </c>
      <c r="E27" s="14" t="s">
        <v>91</v>
      </c>
      <c r="F27" s="14" t="s">
        <v>150</v>
      </c>
      <c r="G27" s="14" t="n">
        <v>2</v>
      </c>
      <c r="H27" s="16" t="n">
        <v>632000</v>
      </c>
      <c r="I27" s="15" t="n">
        <v>46081</v>
      </c>
      <c r="J27" s="15" t="n">
        <v>46078</v>
      </c>
      <c r="K27" s="15" t="n">
        <v>46080</v>
      </c>
      <c r="L27" s="15" t="n">
        <v>46084</v>
      </c>
      <c r="M27" s="15" t="n">
        <v>46081</v>
      </c>
      <c r="N27" s="14" t="s">
        <v>75</v>
      </c>
      <c r="O27" s="14"/>
      <c r="P27" s="14"/>
      <c r="Q27" s="14"/>
      <c r="R27" s="14" t="s">
        <v>226</v>
      </c>
      <c r="S27" s="14" t="s">
        <v>745</v>
      </c>
      <c r="T27" s="14" t="n">
        <v>1</v>
      </c>
      <c r="U27" s="14" t="n">
        <v>1</v>
      </c>
      <c r="V27" s="14" t="n">
        <v>1</v>
      </c>
      <c r="W27" s="17" t="n">
        <f aca="false">DATE(YEAR(B27),MONTH(B27),1)</f>
        <v>46054</v>
      </c>
      <c r="X27" s="14" t="n">
        <f aca="false">IF(AND(N27&lt;&gt;"Cancelled",I27&lt;=AsOf),1,0)</f>
        <v>1</v>
      </c>
      <c r="Y27" s="14" t="n">
        <f aca="false">IF(AND(N27&lt;&gt;"Cancelled",OR(ISNUMBER(K27),N27="Completed")),1,0)</f>
        <v>1</v>
      </c>
      <c r="Z27" s="14" t="n">
        <f aca="false">IF(AND(Y27=1,U27=1,ISNUMBER(K27)),K27-I27,"")</f>
        <v>-1</v>
      </c>
      <c r="AA27" s="14" t="str">
        <f aca="false">IF(Z27="","",IF(Z27&lt;0,"Early",IF(Z27=0,"On Time","Late")))</f>
        <v>Early</v>
      </c>
      <c r="AB27" s="14" t="n">
        <f aca="false">IF(AND(N27&lt;&gt;"Cancelled",L27&lt;=AsOf),1,0)</f>
        <v>1</v>
      </c>
      <c r="AC27" s="14" t="n">
        <f aca="false">IF(AND(N27&lt;&gt;"Cancelled",OR(ISNUMBER(M27),N27="Completed")),1,0)</f>
        <v>1</v>
      </c>
      <c r="AD27" s="14" t="n">
        <f aca="false">IF(AND(AC27=1,V27=1,ISNUMBER(M27)),M27-L27,"")</f>
        <v>-3</v>
      </c>
      <c r="AE27" s="14" t="str">
        <f aca="false">IF(AD27="","",IF(AD27&lt;0,"Early",IF(AD27=0,"On Time","Late")))</f>
        <v>Early</v>
      </c>
      <c r="AF27" s="14" t="n">
        <f aca="false">IF(AND(T27=1,ISNUMBER(J27),N27&lt;&gt;"Cancelled"),J27-B27,"")</f>
        <v>11</v>
      </c>
      <c r="AG27" s="14" t="n">
        <f aca="false">IF(AND(AF27&lt;&gt;"",Z27&lt;&gt;""),K27-J27,"")</f>
        <v>2</v>
      </c>
      <c r="AH27" s="14" t="n">
        <f aca="false">IF(AND(Z27&lt;&gt;"",AD27&lt;&gt;""),M27-K27,"")</f>
        <v>1</v>
      </c>
      <c r="AI27" s="14" t="n">
        <f aca="false">IF(Z27&lt;&gt;"",K27-B27,"")</f>
        <v>13</v>
      </c>
      <c r="AJ27" s="14" t="n">
        <f aca="false">IF(AND(N27="Completed",AD27&lt;&gt;""),M27-B27,"")</f>
        <v>14</v>
      </c>
      <c r="AK27" s="14" t="str">
        <f aca="false">IF(N27="Cancelled","Cancelled",IF(N27="Completed","Completed",IF(Y27=1,"Awaiting Installation",IF(ISNUMBER(J27),"In Transit","In Production"))))</f>
        <v>Completed</v>
      </c>
      <c r="AL27" s="18" t="n">
        <f aca="false">IF(AND(N27="Pending",OR(AND(Y27=0,I27&lt;AsOf),AND(Y27=1,L27&lt;AsOf))),1,0)</f>
        <v>0</v>
      </c>
      <c r="AM27" s="14" t="str">
        <f aca="false">IF(AL27=1,IF(Y27=0,AsOf-I27,AsOf-L27),"")</f>
        <v/>
      </c>
      <c r="AN27" s="14" t="str">
        <f aca="false">IF(AL27=1,IF(Y27=0,"Delivery","Installation"),"")</f>
        <v/>
      </c>
      <c r="AO27" s="14" t="n">
        <f aca="false">IF(AND(OR(fCat="All",F27=fCat),OR(fCust="All",D27=fCust),OR(fReg="All",E27=fReg)),1,0)</f>
        <v>1</v>
      </c>
      <c r="AP27" s="14" t="n">
        <f aca="false">IF(AND(AL27=1,AO27=1),AM27+ROW()/100000,0)</f>
        <v>0</v>
      </c>
    </row>
    <row r="28" customFormat="false" ht="15" hidden="false" customHeight="false" outlineLevel="0" collapsed="false">
      <c r="A28" s="14" t="s">
        <v>232</v>
      </c>
      <c r="B28" s="15" t="n">
        <v>46070</v>
      </c>
      <c r="C28" s="14" t="s">
        <v>233</v>
      </c>
      <c r="D28" s="14" t="s">
        <v>149</v>
      </c>
      <c r="E28" s="14" t="s">
        <v>102</v>
      </c>
      <c r="F28" s="14" t="s">
        <v>160</v>
      </c>
      <c r="G28" s="14" t="n">
        <v>1</v>
      </c>
      <c r="H28" s="16" t="n">
        <v>185000</v>
      </c>
      <c r="I28" s="15" t="n">
        <v>46082</v>
      </c>
      <c r="J28" s="15" t="n">
        <v>46074</v>
      </c>
      <c r="K28" s="15" t="n">
        <v>46078</v>
      </c>
      <c r="L28" s="15" t="n">
        <v>46085</v>
      </c>
      <c r="M28" s="15" t="n">
        <v>46080</v>
      </c>
      <c r="N28" s="14" t="s">
        <v>75</v>
      </c>
      <c r="O28" s="14"/>
      <c r="P28" s="14"/>
      <c r="Q28" s="14"/>
      <c r="R28" s="14" t="s">
        <v>86</v>
      </c>
      <c r="S28" s="14" t="s">
        <v>745</v>
      </c>
      <c r="T28" s="14" t="n">
        <v>1</v>
      </c>
      <c r="U28" s="14" t="n">
        <v>1</v>
      </c>
      <c r="V28" s="14" t="n">
        <v>1</v>
      </c>
      <c r="W28" s="17" t="n">
        <f aca="false">DATE(YEAR(B28),MONTH(B28),1)</f>
        <v>46054</v>
      </c>
      <c r="X28" s="14" t="n">
        <f aca="false">IF(AND(N28&lt;&gt;"Cancelled",I28&lt;=AsOf),1,0)</f>
        <v>1</v>
      </c>
      <c r="Y28" s="14" t="n">
        <f aca="false">IF(AND(N28&lt;&gt;"Cancelled",OR(ISNUMBER(K28),N28="Completed")),1,0)</f>
        <v>1</v>
      </c>
      <c r="Z28" s="14" t="n">
        <f aca="false">IF(AND(Y28=1,U28=1,ISNUMBER(K28)),K28-I28,"")</f>
        <v>-4</v>
      </c>
      <c r="AA28" s="14" t="str">
        <f aca="false">IF(Z28="","",IF(Z28&lt;0,"Early",IF(Z28=0,"On Time","Late")))</f>
        <v>Early</v>
      </c>
      <c r="AB28" s="14" t="n">
        <f aca="false">IF(AND(N28&lt;&gt;"Cancelled",L28&lt;=AsOf),1,0)</f>
        <v>1</v>
      </c>
      <c r="AC28" s="14" t="n">
        <f aca="false">IF(AND(N28&lt;&gt;"Cancelled",OR(ISNUMBER(M28),N28="Completed")),1,0)</f>
        <v>1</v>
      </c>
      <c r="AD28" s="14" t="n">
        <f aca="false">IF(AND(AC28=1,V28=1,ISNUMBER(M28)),M28-L28,"")</f>
        <v>-5</v>
      </c>
      <c r="AE28" s="14" t="str">
        <f aca="false">IF(AD28="","",IF(AD28&lt;0,"Early",IF(AD28=0,"On Time","Late")))</f>
        <v>Early</v>
      </c>
      <c r="AF28" s="14" t="n">
        <f aca="false">IF(AND(T28=1,ISNUMBER(J28),N28&lt;&gt;"Cancelled"),J28-B28,"")</f>
        <v>4</v>
      </c>
      <c r="AG28" s="14" t="n">
        <f aca="false">IF(AND(AF28&lt;&gt;"",Z28&lt;&gt;""),K28-J28,"")</f>
        <v>4</v>
      </c>
      <c r="AH28" s="14" t="n">
        <f aca="false">IF(AND(Z28&lt;&gt;"",AD28&lt;&gt;""),M28-K28,"")</f>
        <v>2</v>
      </c>
      <c r="AI28" s="14" t="n">
        <f aca="false">IF(Z28&lt;&gt;"",K28-B28,"")</f>
        <v>8</v>
      </c>
      <c r="AJ28" s="14" t="n">
        <f aca="false">IF(AND(N28="Completed",AD28&lt;&gt;""),M28-B28,"")</f>
        <v>10</v>
      </c>
      <c r="AK28" s="14" t="str">
        <f aca="false">IF(N28="Cancelled","Cancelled",IF(N28="Completed","Completed",IF(Y28=1,"Awaiting Installation",IF(ISNUMBER(J28),"In Transit","In Production"))))</f>
        <v>Completed</v>
      </c>
      <c r="AL28" s="18" t="n">
        <f aca="false">IF(AND(N28="Pending",OR(AND(Y28=0,I28&lt;AsOf),AND(Y28=1,L28&lt;AsOf))),1,0)</f>
        <v>0</v>
      </c>
      <c r="AM28" s="14" t="str">
        <f aca="false">IF(AL28=1,IF(Y28=0,AsOf-I28,AsOf-L28),"")</f>
        <v/>
      </c>
      <c r="AN28" s="14" t="str">
        <f aca="false">IF(AL28=1,IF(Y28=0,"Delivery","Installation"),"")</f>
        <v/>
      </c>
      <c r="AO28" s="14" t="n">
        <f aca="false">IF(AND(OR(fCat="All",F28=fCat),OR(fCust="All",D28=fCust),OR(fReg="All",E28=fReg)),1,0)</f>
        <v>1</v>
      </c>
      <c r="AP28" s="14" t="n">
        <f aca="false">IF(AND(AL28=1,AO28=1),AM28+ROW()/100000,0)</f>
        <v>0</v>
      </c>
    </row>
    <row r="29" customFormat="false" ht="15" hidden="false" customHeight="false" outlineLevel="0" collapsed="false">
      <c r="A29" s="14" t="s">
        <v>235</v>
      </c>
      <c r="B29" s="15" t="n">
        <v>46070</v>
      </c>
      <c r="C29" s="14" t="s">
        <v>78</v>
      </c>
      <c r="D29" s="14" t="s">
        <v>90</v>
      </c>
      <c r="E29" s="14" t="s">
        <v>91</v>
      </c>
      <c r="F29" s="14" t="s">
        <v>121</v>
      </c>
      <c r="G29" s="14" t="n">
        <v>2</v>
      </c>
      <c r="H29" s="16" t="n">
        <v>1670000</v>
      </c>
      <c r="I29" s="15" t="n">
        <v>46100</v>
      </c>
      <c r="J29" s="15" t="n">
        <v>46108</v>
      </c>
      <c r="K29" s="15" t="n">
        <v>46109</v>
      </c>
      <c r="L29" s="15" t="n">
        <v>46105</v>
      </c>
      <c r="M29" s="15" t="n">
        <v>46113</v>
      </c>
      <c r="N29" s="14" t="s">
        <v>75</v>
      </c>
      <c r="O29" s="14" t="s">
        <v>110</v>
      </c>
      <c r="P29" s="14"/>
      <c r="Q29" s="14"/>
      <c r="R29" s="14"/>
      <c r="S29" s="14" t="s">
        <v>745</v>
      </c>
      <c r="T29" s="14" t="n">
        <v>1</v>
      </c>
      <c r="U29" s="14" t="n">
        <v>1</v>
      </c>
      <c r="V29" s="14" t="n">
        <v>1</v>
      </c>
      <c r="W29" s="17" t="n">
        <f aca="false">DATE(YEAR(B29),MONTH(B29),1)</f>
        <v>46054</v>
      </c>
      <c r="X29" s="14" t="n">
        <f aca="false">IF(AND(N29&lt;&gt;"Cancelled",I29&lt;=AsOf),1,0)</f>
        <v>1</v>
      </c>
      <c r="Y29" s="14" t="n">
        <f aca="false">IF(AND(N29&lt;&gt;"Cancelled",OR(ISNUMBER(K29),N29="Completed")),1,0)</f>
        <v>1</v>
      </c>
      <c r="Z29" s="14" t="n">
        <f aca="false">IF(AND(Y29=1,U29=1,ISNUMBER(K29)),K29-I29,"")</f>
        <v>9</v>
      </c>
      <c r="AA29" s="14" t="str">
        <f aca="false">IF(Z29="","",IF(Z29&lt;0,"Early",IF(Z29=0,"On Time","Late")))</f>
        <v>Late</v>
      </c>
      <c r="AB29" s="14" t="n">
        <f aca="false">IF(AND(N29&lt;&gt;"Cancelled",L29&lt;=AsOf),1,0)</f>
        <v>1</v>
      </c>
      <c r="AC29" s="14" t="n">
        <f aca="false">IF(AND(N29&lt;&gt;"Cancelled",OR(ISNUMBER(M29),N29="Completed")),1,0)</f>
        <v>1</v>
      </c>
      <c r="AD29" s="14" t="n">
        <f aca="false">IF(AND(AC29=1,V29=1,ISNUMBER(M29)),M29-L29,"")</f>
        <v>8</v>
      </c>
      <c r="AE29" s="14" t="str">
        <f aca="false">IF(AD29="","",IF(AD29&lt;0,"Early",IF(AD29=0,"On Time","Late")))</f>
        <v>Late</v>
      </c>
      <c r="AF29" s="14" t="n">
        <f aca="false">IF(AND(T29=1,ISNUMBER(J29),N29&lt;&gt;"Cancelled"),J29-B29,"")</f>
        <v>38</v>
      </c>
      <c r="AG29" s="14" t="n">
        <f aca="false">IF(AND(AF29&lt;&gt;"",Z29&lt;&gt;""),K29-J29,"")</f>
        <v>1</v>
      </c>
      <c r="AH29" s="14" t="n">
        <f aca="false">IF(AND(Z29&lt;&gt;"",AD29&lt;&gt;""),M29-K29,"")</f>
        <v>4</v>
      </c>
      <c r="AI29" s="14" t="n">
        <f aca="false">IF(Z29&lt;&gt;"",K29-B29,"")</f>
        <v>39</v>
      </c>
      <c r="AJ29" s="14" t="n">
        <f aca="false">IF(AND(N29="Completed",AD29&lt;&gt;""),M29-B29,"")</f>
        <v>43</v>
      </c>
      <c r="AK29" s="14" t="str">
        <f aca="false">IF(N29="Cancelled","Cancelled",IF(N29="Completed","Completed",IF(Y29=1,"Awaiting Installation",IF(ISNUMBER(J29),"In Transit","In Production"))))</f>
        <v>Completed</v>
      </c>
      <c r="AL29" s="18" t="n">
        <f aca="false">IF(AND(N29="Pending",OR(AND(Y29=0,I29&lt;AsOf),AND(Y29=1,L29&lt;AsOf))),1,0)</f>
        <v>0</v>
      </c>
      <c r="AM29" s="14" t="str">
        <f aca="false">IF(AL29=1,IF(Y29=0,AsOf-I29,AsOf-L29),"")</f>
        <v/>
      </c>
      <c r="AN29" s="14" t="str">
        <f aca="false">IF(AL29=1,IF(Y29=0,"Delivery","Installation"),"")</f>
        <v/>
      </c>
      <c r="AO29" s="14" t="n">
        <f aca="false">IF(AND(OR(fCat="All",F29=fCat),OR(fCust="All",D29=fCust),OR(fReg="All",E29=fReg)),1,0)</f>
        <v>1</v>
      </c>
      <c r="AP29" s="14" t="n">
        <f aca="false">IF(AND(AL29=1,AO29=1),AM29+ROW()/100000,0)</f>
        <v>0</v>
      </c>
    </row>
    <row r="30" customFormat="false" ht="15" hidden="false" customHeight="false" outlineLevel="0" collapsed="false">
      <c r="A30" s="14" t="s">
        <v>241</v>
      </c>
      <c r="B30" s="15" t="n">
        <v>46071</v>
      </c>
      <c r="C30" s="14" t="s">
        <v>242</v>
      </c>
      <c r="D30" s="14" t="s">
        <v>90</v>
      </c>
      <c r="E30" s="14" t="s">
        <v>91</v>
      </c>
      <c r="F30" s="14" t="s">
        <v>150</v>
      </c>
      <c r="G30" s="14" t="n">
        <v>2</v>
      </c>
      <c r="H30" s="16" t="n">
        <v>900000</v>
      </c>
      <c r="I30" s="15" t="n">
        <v>46085</v>
      </c>
      <c r="J30" s="15" t="n">
        <v>46080</v>
      </c>
      <c r="K30" s="15" t="n">
        <v>46082</v>
      </c>
      <c r="L30" s="15" t="n">
        <v>46088</v>
      </c>
      <c r="M30" s="15" t="n">
        <v>46084</v>
      </c>
      <c r="N30" s="14" t="s">
        <v>75</v>
      </c>
      <c r="O30" s="14"/>
      <c r="P30" s="14"/>
      <c r="Q30" s="14"/>
      <c r="R30" s="14"/>
      <c r="S30" s="14" t="s">
        <v>745</v>
      </c>
      <c r="T30" s="14" t="n">
        <v>1</v>
      </c>
      <c r="U30" s="14" t="n">
        <v>1</v>
      </c>
      <c r="V30" s="14" t="n">
        <v>1</v>
      </c>
      <c r="W30" s="17" t="n">
        <f aca="false">DATE(YEAR(B30),MONTH(B30),1)</f>
        <v>46054</v>
      </c>
      <c r="X30" s="14" t="n">
        <f aca="false">IF(AND(N30&lt;&gt;"Cancelled",I30&lt;=AsOf),1,0)</f>
        <v>1</v>
      </c>
      <c r="Y30" s="14" t="n">
        <f aca="false">IF(AND(N30&lt;&gt;"Cancelled",OR(ISNUMBER(K30),N30="Completed")),1,0)</f>
        <v>1</v>
      </c>
      <c r="Z30" s="14" t="n">
        <f aca="false">IF(AND(Y30=1,U30=1,ISNUMBER(K30)),K30-I30,"")</f>
        <v>-3</v>
      </c>
      <c r="AA30" s="14" t="str">
        <f aca="false">IF(Z30="","",IF(Z30&lt;0,"Early",IF(Z30=0,"On Time","Late")))</f>
        <v>Early</v>
      </c>
      <c r="AB30" s="14" t="n">
        <f aca="false">IF(AND(N30&lt;&gt;"Cancelled",L30&lt;=AsOf),1,0)</f>
        <v>1</v>
      </c>
      <c r="AC30" s="14" t="n">
        <f aca="false">IF(AND(N30&lt;&gt;"Cancelled",OR(ISNUMBER(M30),N30="Completed")),1,0)</f>
        <v>1</v>
      </c>
      <c r="AD30" s="14" t="n">
        <f aca="false">IF(AND(AC30=1,V30=1,ISNUMBER(M30)),M30-L30,"")</f>
        <v>-4</v>
      </c>
      <c r="AE30" s="14" t="str">
        <f aca="false">IF(AD30="","",IF(AD30&lt;0,"Early",IF(AD30=0,"On Time","Late")))</f>
        <v>Early</v>
      </c>
      <c r="AF30" s="14" t="n">
        <f aca="false">IF(AND(T30=1,ISNUMBER(J30),N30&lt;&gt;"Cancelled"),J30-B30,"")</f>
        <v>9</v>
      </c>
      <c r="AG30" s="14" t="n">
        <f aca="false">IF(AND(AF30&lt;&gt;"",Z30&lt;&gt;""),K30-J30,"")</f>
        <v>2</v>
      </c>
      <c r="AH30" s="14" t="n">
        <f aca="false">IF(AND(Z30&lt;&gt;"",AD30&lt;&gt;""),M30-K30,"")</f>
        <v>2</v>
      </c>
      <c r="AI30" s="14" t="n">
        <f aca="false">IF(Z30&lt;&gt;"",K30-B30,"")</f>
        <v>11</v>
      </c>
      <c r="AJ30" s="14" t="n">
        <f aca="false">IF(AND(N30="Completed",AD30&lt;&gt;""),M30-B30,"")</f>
        <v>13</v>
      </c>
      <c r="AK30" s="14" t="str">
        <f aca="false">IF(N30="Cancelled","Cancelled",IF(N30="Completed","Completed",IF(Y30=1,"Awaiting Installation",IF(ISNUMBER(J30),"In Transit","In Production"))))</f>
        <v>Completed</v>
      </c>
      <c r="AL30" s="18" t="n">
        <f aca="false">IF(AND(N30="Pending",OR(AND(Y30=0,I30&lt;AsOf),AND(Y30=1,L30&lt;AsOf))),1,0)</f>
        <v>0</v>
      </c>
      <c r="AM30" s="14" t="str">
        <f aca="false">IF(AL30=1,IF(Y30=0,AsOf-I30,AsOf-L30),"")</f>
        <v/>
      </c>
      <c r="AN30" s="14" t="str">
        <f aca="false">IF(AL30=1,IF(Y30=0,"Delivery","Installation"),"")</f>
        <v/>
      </c>
      <c r="AO30" s="14" t="n">
        <f aca="false">IF(AND(OR(fCat="All",F30=fCat),OR(fCust="All",D30=fCust),OR(fReg="All",E30=fReg)),1,0)</f>
        <v>1</v>
      </c>
      <c r="AP30" s="14" t="n">
        <f aca="false">IF(AND(AL30=1,AO30=1),AM30+ROW()/100000,0)</f>
        <v>0</v>
      </c>
    </row>
    <row r="31" customFormat="false" ht="15" hidden="false" customHeight="false" outlineLevel="0" collapsed="false">
      <c r="A31" s="14" t="s">
        <v>244</v>
      </c>
      <c r="B31" s="15" t="n">
        <v>46073</v>
      </c>
      <c r="C31" s="14" t="s">
        <v>164</v>
      </c>
      <c r="D31" s="14" t="s">
        <v>65</v>
      </c>
      <c r="E31" s="14" t="s">
        <v>91</v>
      </c>
      <c r="F31" s="14" t="s">
        <v>67</v>
      </c>
      <c r="G31" s="14" t="n">
        <v>3</v>
      </c>
      <c r="H31" s="16" t="n">
        <v>3144000</v>
      </c>
      <c r="I31" s="15" t="n">
        <v>46091</v>
      </c>
      <c r="J31" s="15" t="n">
        <v>46096</v>
      </c>
      <c r="K31" s="15" t="n">
        <v>46098</v>
      </c>
      <c r="L31" s="15" t="n">
        <v>46096</v>
      </c>
      <c r="M31" s="15" t="n">
        <v>46103</v>
      </c>
      <c r="N31" s="14" t="s">
        <v>75</v>
      </c>
      <c r="O31" s="14" t="s">
        <v>110</v>
      </c>
      <c r="P31" s="14" t="s">
        <v>85</v>
      </c>
      <c r="Q31" s="14"/>
      <c r="R31" s="14" t="s">
        <v>168</v>
      </c>
      <c r="S31" s="14" t="s">
        <v>745</v>
      </c>
      <c r="T31" s="14" t="n">
        <v>1</v>
      </c>
      <c r="U31" s="14" t="n">
        <v>1</v>
      </c>
      <c r="V31" s="14" t="n">
        <v>1</v>
      </c>
      <c r="W31" s="17" t="n">
        <f aca="false">DATE(YEAR(B31),MONTH(B31),1)</f>
        <v>46054</v>
      </c>
      <c r="X31" s="14" t="n">
        <f aca="false">IF(AND(N31&lt;&gt;"Cancelled",I31&lt;=AsOf),1,0)</f>
        <v>1</v>
      </c>
      <c r="Y31" s="14" t="n">
        <f aca="false">IF(AND(N31&lt;&gt;"Cancelled",OR(ISNUMBER(K31),N31="Completed")),1,0)</f>
        <v>1</v>
      </c>
      <c r="Z31" s="14" t="n">
        <f aca="false">IF(AND(Y31=1,U31=1,ISNUMBER(K31)),K31-I31,"")</f>
        <v>7</v>
      </c>
      <c r="AA31" s="14" t="str">
        <f aca="false">IF(Z31="","",IF(Z31&lt;0,"Early",IF(Z31=0,"On Time","Late")))</f>
        <v>Late</v>
      </c>
      <c r="AB31" s="14" t="n">
        <f aca="false">IF(AND(N31&lt;&gt;"Cancelled",L31&lt;=AsOf),1,0)</f>
        <v>1</v>
      </c>
      <c r="AC31" s="14" t="n">
        <f aca="false">IF(AND(N31&lt;&gt;"Cancelled",OR(ISNUMBER(M31),N31="Completed")),1,0)</f>
        <v>1</v>
      </c>
      <c r="AD31" s="14" t="n">
        <f aca="false">IF(AND(AC31=1,V31=1,ISNUMBER(M31)),M31-L31,"")</f>
        <v>7</v>
      </c>
      <c r="AE31" s="14" t="str">
        <f aca="false">IF(AD31="","",IF(AD31&lt;0,"Early",IF(AD31=0,"On Time","Late")))</f>
        <v>Late</v>
      </c>
      <c r="AF31" s="14" t="n">
        <f aca="false">IF(AND(T31=1,ISNUMBER(J31),N31&lt;&gt;"Cancelled"),J31-B31,"")</f>
        <v>23</v>
      </c>
      <c r="AG31" s="14" t="n">
        <f aca="false">IF(AND(AF31&lt;&gt;"",Z31&lt;&gt;""),K31-J31,"")</f>
        <v>2</v>
      </c>
      <c r="AH31" s="14" t="n">
        <f aca="false">IF(AND(Z31&lt;&gt;"",AD31&lt;&gt;""),M31-K31,"")</f>
        <v>5</v>
      </c>
      <c r="AI31" s="14" t="n">
        <f aca="false">IF(Z31&lt;&gt;"",K31-B31,"")</f>
        <v>25</v>
      </c>
      <c r="AJ31" s="14" t="n">
        <f aca="false">IF(AND(N31="Completed",AD31&lt;&gt;""),M31-B31,"")</f>
        <v>30</v>
      </c>
      <c r="AK31" s="14" t="str">
        <f aca="false">IF(N31="Cancelled","Cancelled",IF(N31="Completed","Completed",IF(Y31=1,"Awaiting Installation",IF(ISNUMBER(J31),"In Transit","In Production"))))</f>
        <v>Completed</v>
      </c>
      <c r="AL31" s="18" t="n">
        <f aca="false">IF(AND(N31="Pending",OR(AND(Y31=0,I31&lt;AsOf),AND(Y31=1,L31&lt;AsOf))),1,0)</f>
        <v>0</v>
      </c>
      <c r="AM31" s="14" t="str">
        <f aca="false">IF(AL31=1,IF(Y31=0,AsOf-I31,AsOf-L31),"")</f>
        <v/>
      </c>
      <c r="AN31" s="14" t="str">
        <f aca="false">IF(AL31=1,IF(Y31=0,"Delivery","Installation"),"")</f>
        <v/>
      </c>
      <c r="AO31" s="14" t="n">
        <f aca="false">IF(AND(OR(fCat="All",F31=fCat),OR(fCust="All",D31=fCust),OR(fReg="All",E31=fReg)),1,0)</f>
        <v>1</v>
      </c>
      <c r="AP31" s="14" t="n">
        <f aca="false">IF(AND(AL31=1,AO31=1),AM31+ROW()/100000,0)</f>
        <v>0</v>
      </c>
    </row>
    <row r="32" customFormat="false" ht="15" hidden="false" customHeight="false" outlineLevel="0" collapsed="false">
      <c r="A32" s="14" t="s">
        <v>248</v>
      </c>
      <c r="B32" s="15" t="n">
        <v>46073</v>
      </c>
      <c r="C32" s="14" t="s">
        <v>249</v>
      </c>
      <c r="D32" s="14" t="s">
        <v>90</v>
      </c>
      <c r="E32" s="14" t="s">
        <v>91</v>
      </c>
      <c r="F32" s="14" t="s">
        <v>103</v>
      </c>
      <c r="G32" s="14" t="n">
        <v>1</v>
      </c>
      <c r="H32" s="16" t="n">
        <v>619000</v>
      </c>
      <c r="I32" s="15" t="n">
        <v>46094</v>
      </c>
      <c r="J32" s="15" t="n">
        <v>46077</v>
      </c>
      <c r="K32" s="15" t="n">
        <v>46079</v>
      </c>
      <c r="L32" s="15" t="n">
        <v>46099</v>
      </c>
      <c r="M32" s="15" t="n">
        <v>46084</v>
      </c>
      <c r="N32" s="14" t="s">
        <v>75</v>
      </c>
      <c r="O32" s="14"/>
      <c r="P32" s="14"/>
      <c r="Q32" s="14"/>
      <c r="R32" s="14" t="s">
        <v>168</v>
      </c>
      <c r="S32" s="14" t="s">
        <v>745</v>
      </c>
      <c r="T32" s="14" t="n">
        <v>1</v>
      </c>
      <c r="U32" s="14" t="n">
        <v>1</v>
      </c>
      <c r="V32" s="14" t="n">
        <v>1</v>
      </c>
      <c r="W32" s="17" t="n">
        <f aca="false">DATE(YEAR(B32),MONTH(B32),1)</f>
        <v>46054</v>
      </c>
      <c r="X32" s="14" t="n">
        <f aca="false">IF(AND(N32&lt;&gt;"Cancelled",I32&lt;=AsOf),1,0)</f>
        <v>1</v>
      </c>
      <c r="Y32" s="14" t="n">
        <f aca="false">IF(AND(N32&lt;&gt;"Cancelled",OR(ISNUMBER(K32),N32="Completed")),1,0)</f>
        <v>1</v>
      </c>
      <c r="Z32" s="14" t="n">
        <f aca="false">IF(AND(Y32=1,U32=1,ISNUMBER(K32)),K32-I32,"")</f>
        <v>-15</v>
      </c>
      <c r="AA32" s="14" t="str">
        <f aca="false">IF(Z32="","",IF(Z32&lt;0,"Early",IF(Z32=0,"On Time","Late")))</f>
        <v>Early</v>
      </c>
      <c r="AB32" s="14" t="n">
        <f aca="false">IF(AND(N32&lt;&gt;"Cancelled",L32&lt;=AsOf),1,0)</f>
        <v>1</v>
      </c>
      <c r="AC32" s="14" t="n">
        <f aca="false">IF(AND(N32&lt;&gt;"Cancelled",OR(ISNUMBER(M32),N32="Completed")),1,0)</f>
        <v>1</v>
      </c>
      <c r="AD32" s="14" t="n">
        <f aca="false">IF(AND(AC32=1,V32=1,ISNUMBER(M32)),M32-L32,"")</f>
        <v>-15</v>
      </c>
      <c r="AE32" s="14" t="str">
        <f aca="false">IF(AD32="","",IF(AD32&lt;0,"Early",IF(AD32=0,"On Time","Late")))</f>
        <v>Early</v>
      </c>
      <c r="AF32" s="14" t="n">
        <f aca="false">IF(AND(T32=1,ISNUMBER(J32),N32&lt;&gt;"Cancelled"),J32-B32,"")</f>
        <v>4</v>
      </c>
      <c r="AG32" s="14" t="n">
        <f aca="false">IF(AND(AF32&lt;&gt;"",Z32&lt;&gt;""),K32-J32,"")</f>
        <v>2</v>
      </c>
      <c r="AH32" s="14" t="n">
        <f aca="false">IF(AND(Z32&lt;&gt;"",AD32&lt;&gt;""),M32-K32,"")</f>
        <v>5</v>
      </c>
      <c r="AI32" s="14" t="n">
        <f aca="false">IF(Z32&lt;&gt;"",K32-B32,"")</f>
        <v>6</v>
      </c>
      <c r="AJ32" s="14" t="n">
        <f aca="false">IF(AND(N32="Completed",AD32&lt;&gt;""),M32-B32,"")</f>
        <v>11</v>
      </c>
      <c r="AK32" s="14" t="str">
        <f aca="false">IF(N32="Cancelled","Cancelled",IF(N32="Completed","Completed",IF(Y32=1,"Awaiting Installation",IF(ISNUMBER(J32),"In Transit","In Production"))))</f>
        <v>Completed</v>
      </c>
      <c r="AL32" s="18" t="n">
        <f aca="false">IF(AND(N32="Pending",OR(AND(Y32=0,I32&lt;AsOf),AND(Y32=1,L32&lt;AsOf))),1,0)</f>
        <v>0</v>
      </c>
      <c r="AM32" s="14" t="str">
        <f aca="false">IF(AL32=1,IF(Y32=0,AsOf-I32,AsOf-L32),"")</f>
        <v/>
      </c>
      <c r="AN32" s="14" t="str">
        <f aca="false">IF(AL32=1,IF(Y32=0,"Delivery","Installation"),"")</f>
        <v/>
      </c>
      <c r="AO32" s="14" t="n">
        <f aca="false">IF(AND(OR(fCat="All",F32=fCat),OR(fCust="All",D32=fCust),OR(fReg="All",E32=fReg)),1,0)</f>
        <v>1</v>
      </c>
      <c r="AP32" s="14" t="n">
        <f aca="false">IF(AND(AL32=1,AO32=1),AM32+ROW()/100000,0)</f>
        <v>0</v>
      </c>
    </row>
    <row r="33" customFormat="false" ht="15" hidden="false" customHeight="false" outlineLevel="0" collapsed="false">
      <c r="A33" s="14" t="s">
        <v>750</v>
      </c>
      <c r="B33" s="15" t="n">
        <v>46077</v>
      </c>
      <c r="C33" s="14" t="s">
        <v>253</v>
      </c>
      <c r="D33" s="14" t="s">
        <v>149</v>
      </c>
      <c r="E33" s="14" t="s">
        <v>102</v>
      </c>
      <c r="F33" s="14" t="s">
        <v>160</v>
      </c>
      <c r="G33" s="14" t="n">
        <v>1</v>
      </c>
      <c r="H33" s="16" t="n">
        <v>183000</v>
      </c>
      <c r="I33" s="15" t="n">
        <v>46089</v>
      </c>
      <c r="J33" s="15" t="n">
        <v>46085</v>
      </c>
      <c r="K33" s="15" t="n">
        <v>46089</v>
      </c>
      <c r="L33" s="15" t="n">
        <v>46092</v>
      </c>
      <c r="M33" s="15" t="n">
        <v>46097</v>
      </c>
      <c r="N33" s="14" t="s">
        <v>75</v>
      </c>
      <c r="O33" s="14"/>
      <c r="P33" s="14"/>
      <c r="Q33" s="14"/>
      <c r="R33" s="14"/>
      <c r="S33" s="14" t="s">
        <v>745</v>
      </c>
      <c r="T33" s="14" t="n">
        <v>1</v>
      </c>
      <c r="U33" s="14" t="n">
        <v>1</v>
      </c>
      <c r="V33" s="14" t="n">
        <v>1</v>
      </c>
      <c r="W33" s="17" t="n">
        <f aca="false">DATE(YEAR(B33),MONTH(B33),1)</f>
        <v>46054</v>
      </c>
      <c r="X33" s="14" t="n">
        <f aca="false">IF(AND(N33&lt;&gt;"Cancelled",I33&lt;=AsOf),1,0)</f>
        <v>1</v>
      </c>
      <c r="Y33" s="14" t="n">
        <f aca="false">IF(AND(N33&lt;&gt;"Cancelled",OR(ISNUMBER(K33),N33="Completed")),1,0)</f>
        <v>1</v>
      </c>
      <c r="Z33" s="14" t="n">
        <f aca="false">IF(AND(Y33=1,U33=1,ISNUMBER(K33)),K33-I33,"")</f>
        <v>0</v>
      </c>
      <c r="AA33" s="14" t="str">
        <f aca="false">IF(Z33="","",IF(Z33&lt;0,"Early",IF(Z33=0,"On Time","Late")))</f>
        <v>On Time</v>
      </c>
      <c r="AB33" s="14" t="n">
        <f aca="false">IF(AND(N33&lt;&gt;"Cancelled",L33&lt;=AsOf),1,0)</f>
        <v>1</v>
      </c>
      <c r="AC33" s="14" t="n">
        <f aca="false">IF(AND(N33&lt;&gt;"Cancelled",OR(ISNUMBER(M33),N33="Completed")),1,0)</f>
        <v>1</v>
      </c>
      <c r="AD33" s="14" t="n">
        <f aca="false">IF(AND(AC33=1,V33=1,ISNUMBER(M33)),M33-L33,"")</f>
        <v>5</v>
      </c>
      <c r="AE33" s="14" t="str">
        <f aca="false">IF(AD33="","",IF(AD33&lt;0,"Early",IF(AD33=0,"On Time","Late")))</f>
        <v>Late</v>
      </c>
      <c r="AF33" s="14" t="n">
        <f aca="false">IF(AND(T33=1,ISNUMBER(J33),N33&lt;&gt;"Cancelled"),J33-B33,"")</f>
        <v>8</v>
      </c>
      <c r="AG33" s="14" t="n">
        <f aca="false">IF(AND(AF33&lt;&gt;"",Z33&lt;&gt;""),K33-J33,"")</f>
        <v>4</v>
      </c>
      <c r="AH33" s="14" t="n">
        <f aca="false">IF(AND(Z33&lt;&gt;"",AD33&lt;&gt;""),M33-K33,"")</f>
        <v>8</v>
      </c>
      <c r="AI33" s="14" t="n">
        <f aca="false">IF(Z33&lt;&gt;"",K33-B33,"")</f>
        <v>12</v>
      </c>
      <c r="AJ33" s="14" t="n">
        <f aca="false">IF(AND(N33="Completed",AD33&lt;&gt;""),M33-B33,"")</f>
        <v>20</v>
      </c>
      <c r="AK33" s="14" t="str">
        <f aca="false">IF(N33="Cancelled","Cancelled",IF(N33="Completed","Completed",IF(Y33=1,"Awaiting Installation",IF(ISNUMBER(J33),"In Transit","In Production"))))</f>
        <v>Completed</v>
      </c>
      <c r="AL33" s="18" t="n">
        <f aca="false">IF(AND(N33="Pending",OR(AND(Y33=0,I33&lt;AsOf),AND(Y33=1,L33&lt;AsOf))),1,0)</f>
        <v>0</v>
      </c>
      <c r="AM33" s="14" t="str">
        <f aca="false">IF(AL33=1,IF(Y33=0,AsOf-I33,AsOf-L33),"")</f>
        <v/>
      </c>
      <c r="AN33" s="14" t="str">
        <f aca="false">IF(AL33=1,IF(Y33=0,"Delivery","Installation"),"")</f>
        <v/>
      </c>
      <c r="AO33" s="14" t="n">
        <f aca="false">IF(AND(OR(fCat="All",F33=fCat),OR(fCust="All",D33=fCust),OR(fReg="All",E33=fReg)),1,0)</f>
        <v>1</v>
      </c>
      <c r="AP33" s="14" t="n">
        <f aca="false">IF(AND(AL33=1,AO33=1),AM33+ROW()/100000,0)</f>
        <v>0</v>
      </c>
    </row>
    <row r="34" customFormat="false" ht="15" hidden="false" customHeight="false" outlineLevel="0" collapsed="false">
      <c r="A34" s="14" t="s">
        <v>257</v>
      </c>
      <c r="B34" s="15" t="n">
        <v>46077</v>
      </c>
      <c r="C34" s="14" t="s">
        <v>258</v>
      </c>
      <c r="D34" s="14" t="s">
        <v>90</v>
      </c>
      <c r="E34" s="14" t="s">
        <v>91</v>
      </c>
      <c r="F34" s="14" t="s">
        <v>67</v>
      </c>
      <c r="G34" s="14" t="n">
        <v>4</v>
      </c>
      <c r="H34" s="16" t="n">
        <v>2952000</v>
      </c>
      <c r="I34" s="15" t="n">
        <v>46095</v>
      </c>
      <c r="J34" s="15" t="n">
        <v>46098</v>
      </c>
      <c r="K34" s="15" t="n">
        <v>46099</v>
      </c>
      <c r="L34" s="15" t="n">
        <v>46100</v>
      </c>
      <c r="M34" s="15" t="n">
        <v>46096</v>
      </c>
      <c r="N34" s="14" t="s">
        <v>75</v>
      </c>
      <c r="O34" s="14"/>
      <c r="P34" s="14" t="s">
        <v>85</v>
      </c>
      <c r="Q34" s="14"/>
      <c r="R34" s="14"/>
      <c r="S34" s="14" t="s">
        <v>746</v>
      </c>
      <c r="T34" s="14" t="n">
        <v>1</v>
      </c>
      <c r="U34" s="14" t="n">
        <v>1</v>
      </c>
      <c r="V34" s="14" t="n">
        <v>0</v>
      </c>
      <c r="W34" s="17" t="n">
        <f aca="false">DATE(YEAR(B34),MONTH(B34),1)</f>
        <v>46054</v>
      </c>
      <c r="X34" s="14" t="n">
        <f aca="false">IF(AND(N34&lt;&gt;"Cancelled",I34&lt;=AsOf),1,0)</f>
        <v>1</v>
      </c>
      <c r="Y34" s="14" t="n">
        <f aca="false">IF(AND(N34&lt;&gt;"Cancelled",OR(ISNUMBER(K34),N34="Completed")),1,0)</f>
        <v>1</v>
      </c>
      <c r="Z34" s="14" t="n">
        <f aca="false">IF(AND(Y34=1,U34=1,ISNUMBER(K34)),K34-I34,"")</f>
        <v>4</v>
      </c>
      <c r="AA34" s="14" t="str">
        <f aca="false">IF(Z34="","",IF(Z34&lt;0,"Early",IF(Z34=0,"On Time","Late")))</f>
        <v>Late</v>
      </c>
      <c r="AB34" s="14" t="n">
        <f aca="false">IF(AND(N34&lt;&gt;"Cancelled",L34&lt;=AsOf),1,0)</f>
        <v>1</v>
      </c>
      <c r="AC34" s="14" t="n">
        <f aca="false">IF(AND(N34&lt;&gt;"Cancelled",OR(ISNUMBER(M34),N34="Completed")),1,0)</f>
        <v>1</v>
      </c>
      <c r="AD34" s="14" t="str">
        <f aca="false">IF(AND(AC34=1,V34=1,ISNUMBER(M34)),M34-L34,"")</f>
        <v/>
      </c>
      <c r="AE34" s="14" t="str">
        <f aca="false">IF(AD34="","",IF(AD34&lt;0,"Early",IF(AD34=0,"On Time","Late")))</f>
        <v/>
      </c>
      <c r="AF34" s="14" t="n">
        <f aca="false">IF(AND(T34=1,ISNUMBER(J34),N34&lt;&gt;"Cancelled"),J34-B34,"")</f>
        <v>21</v>
      </c>
      <c r="AG34" s="14" t="n">
        <f aca="false">IF(AND(AF34&lt;&gt;"",Z34&lt;&gt;""),K34-J34,"")</f>
        <v>1</v>
      </c>
      <c r="AH34" s="14" t="str">
        <f aca="false">IF(AND(Z34&lt;&gt;"",AD34&lt;&gt;""),M34-K34,"")</f>
        <v/>
      </c>
      <c r="AI34" s="14" t="n">
        <f aca="false">IF(Z34&lt;&gt;"",K34-B34,"")</f>
        <v>22</v>
      </c>
      <c r="AJ34" s="14" t="str">
        <f aca="false">IF(AND(N34="Completed",AD34&lt;&gt;""),M34-B34,"")</f>
        <v/>
      </c>
      <c r="AK34" s="14" t="str">
        <f aca="false">IF(N34="Cancelled","Cancelled",IF(N34="Completed","Completed",IF(Y34=1,"Awaiting Installation",IF(ISNUMBER(J34),"In Transit","In Production"))))</f>
        <v>Completed</v>
      </c>
      <c r="AL34" s="18" t="n">
        <f aca="false">IF(AND(N34="Pending",OR(AND(Y34=0,I34&lt;AsOf),AND(Y34=1,L34&lt;AsOf))),1,0)</f>
        <v>0</v>
      </c>
      <c r="AM34" s="14" t="str">
        <f aca="false">IF(AL34=1,IF(Y34=0,AsOf-I34,AsOf-L34),"")</f>
        <v/>
      </c>
      <c r="AN34" s="14" t="str">
        <f aca="false">IF(AL34=1,IF(Y34=0,"Delivery","Installation"),"")</f>
        <v/>
      </c>
      <c r="AO34" s="14" t="n">
        <f aca="false">IF(AND(OR(fCat="All",F34=fCat),OR(fCust="All",D34=fCust),OR(fReg="All",E34=fReg)),1,0)</f>
        <v>1</v>
      </c>
      <c r="AP34" s="14" t="n">
        <f aca="false">IF(AND(AL34=1,AO34=1),AM34+ROW()/100000,0)</f>
        <v>0</v>
      </c>
    </row>
    <row r="35" customFormat="false" ht="15" hidden="false" customHeight="false" outlineLevel="0" collapsed="false">
      <c r="A35" s="14" t="s">
        <v>261</v>
      </c>
      <c r="B35" s="15" t="n">
        <v>46078</v>
      </c>
      <c r="C35" s="14" t="s">
        <v>262</v>
      </c>
      <c r="D35" s="14" t="s">
        <v>90</v>
      </c>
      <c r="E35" s="14" t="s">
        <v>91</v>
      </c>
      <c r="F35" s="14" t="s">
        <v>150</v>
      </c>
      <c r="G35" s="14" t="n">
        <v>2</v>
      </c>
      <c r="H35" s="16" t="n">
        <v>488000</v>
      </c>
      <c r="I35" s="15" t="n">
        <v>46092</v>
      </c>
      <c r="J35" s="15" t="n">
        <v>46083</v>
      </c>
      <c r="K35" s="15" t="n">
        <v>46085</v>
      </c>
      <c r="L35" s="15" t="n">
        <v>46095</v>
      </c>
      <c r="M35" s="15" t="n">
        <v>46097</v>
      </c>
      <c r="N35" s="14" t="s">
        <v>75</v>
      </c>
      <c r="O35" s="14"/>
      <c r="P35" s="14" t="s">
        <v>183</v>
      </c>
      <c r="Q35" s="14"/>
      <c r="R35" s="14"/>
      <c r="S35" s="14" t="s">
        <v>745</v>
      </c>
      <c r="T35" s="14" t="n">
        <v>1</v>
      </c>
      <c r="U35" s="14" t="n">
        <v>1</v>
      </c>
      <c r="V35" s="14" t="n">
        <v>1</v>
      </c>
      <c r="W35" s="17" t="n">
        <f aca="false">DATE(YEAR(B35),MONTH(B35),1)</f>
        <v>46054</v>
      </c>
      <c r="X35" s="14" t="n">
        <f aca="false">IF(AND(N35&lt;&gt;"Cancelled",I35&lt;=AsOf),1,0)</f>
        <v>1</v>
      </c>
      <c r="Y35" s="14" t="n">
        <f aca="false">IF(AND(N35&lt;&gt;"Cancelled",OR(ISNUMBER(K35),N35="Completed")),1,0)</f>
        <v>1</v>
      </c>
      <c r="Z35" s="14" t="n">
        <f aca="false">IF(AND(Y35=1,U35=1,ISNUMBER(K35)),K35-I35,"")</f>
        <v>-7</v>
      </c>
      <c r="AA35" s="14" t="str">
        <f aca="false">IF(Z35="","",IF(Z35&lt;0,"Early",IF(Z35=0,"On Time","Late")))</f>
        <v>Early</v>
      </c>
      <c r="AB35" s="14" t="n">
        <f aca="false">IF(AND(N35&lt;&gt;"Cancelled",L35&lt;=AsOf),1,0)</f>
        <v>1</v>
      </c>
      <c r="AC35" s="14" t="n">
        <f aca="false">IF(AND(N35&lt;&gt;"Cancelled",OR(ISNUMBER(M35),N35="Completed")),1,0)</f>
        <v>1</v>
      </c>
      <c r="AD35" s="14" t="n">
        <f aca="false">IF(AND(AC35=1,V35=1,ISNUMBER(M35)),M35-L35,"")</f>
        <v>2</v>
      </c>
      <c r="AE35" s="14" t="str">
        <f aca="false">IF(AD35="","",IF(AD35&lt;0,"Early",IF(AD35=0,"On Time","Late")))</f>
        <v>Late</v>
      </c>
      <c r="AF35" s="14" t="n">
        <f aca="false">IF(AND(T35=1,ISNUMBER(J35),N35&lt;&gt;"Cancelled"),J35-B35,"")</f>
        <v>5</v>
      </c>
      <c r="AG35" s="14" t="n">
        <f aca="false">IF(AND(AF35&lt;&gt;"",Z35&lt;&gt;""),K35-J35,"")</f>
        <v>2</v>
      </c>
      <c r="AH35" s="14" t="n">
        <f aca="false">IF(AND(Z35&lt;&gt;"",AD35&lt;&gt;""),M35-K35,"")</f>
        <v>12</v>
      </c>
      <c r="AI35" s="14" t="n">
        <f aca="false">IF(Z35&lt;&gt;"",K35-B35,"")</f>
        <v>7</v>
      </c>
      <c r="AJ35" s="14" t="n">
        <f aca="false">IF(AND(N35="Completed",AD35&lt;&gt;""),M35-B35,"")</f>
        <v>19</v>
      </c>
      <c r="AK35" s="14" t="str">
        <f aca="false">IF(N35="Cancelled","Cancelled",IF(N35="Completed","Completed",IF(Y35=1,"Awaiting Installation",IF(ISNUMBER(J35),"In Transit","In Production"))))</f>
        <v>Completed</v>
      </c>
      <c r="AL35" s="18" t="n">
        <f aca="false">IF(AND(N35="Pending",OR(AND(Y35=0,I35&lt;AsOf),AND(Y35=1,L35&lt;AsOf))),1,0)</f>
        <v>0</v>
      </c>
      <c r="AM35" s="14" t="str">
        <f aca="false">IF(AL35=1,IF(Y35=0,AsOf-I35,AsOf-L35),"")</f>
        <v/>
      </c>
      <c r="AN35" s="14" t="str">
        <f aca="false">IF(AL35=1,IF(Y35=0,"Delivery","Installation"),"")</f>
        <v/>
      </c>
      <c r="AO35" s="14" t="n">
        <f aca="false">IF(AND(OR(fCat="All",F35=fCat),OR(fCust="All",D35=fCust),OR(fReg="All",E35=fReg)),1,0)</f>
        <v>1</v>
      </c>
      <c r="AP35" s="14" t="n">
        <f aca="false">IF(AND(AL35=1,AO35=1),AM35+ROW()/100000,0)</f>
        <v>0</v>
      </c>
    </row>
    <row r="36" customFormat="false" ht="15" hidden="false" customHeight="false" outlineLevel="0" collapsed="false">
      <c r="A36" s="14" t="s">
        <v>265</v>
      </c>
      <c r="B36" s="15" t="n">
        <v>46078</v>
      </c>
      <c r="C36" s="14" t="s">
        <v>266</v>
      </c>
      <c r="D36" s="14" t="s">
        <v>149</v>
      </c>
      <c r="E36" s="14" t="s">
        <v>91</v>
      </c>
      <c r="F36" s="14" t="s">
        <v>150</v>
      </c>
      <c r="G36" s="14" t="n">
        <v>1</v>
      </c>
      <c r="H36" s="16"/>
      <c r="I36" s="15" t="n">
        <v>46092</v>
      </c>
      <c r="J36" s="15" t="n">
        <v>46093</v>
      </c>
      <c r="K36" s="15" t="n">
        <v>46095</v>
      </c>
      <c r="L36" s="15" t="n">
        <v>46095</v>
      </c>
      <c r="M36" s="15" t="n">
        <v>46098</v>
      </c>
      <c r="N36" s="14" t="s">
        <v>75</v>
      </c>
      <c r="O36" s="14" t="s">
        <v>110</v>
      </c>
      <c r="P36" s="14" t="s">
        <v>85</v>
      </c>
      <c r="Q36" s="14"/>
      <c r="R36" s="14"/>
      <c r="S36" s="14" t="s">
        <v>751</v>
      </c>
      <c r="T36" s="14" t="n">
        <v>1</v>
      </c>
      <c r="U36" s="14" t="n">
        <v>1</v>
      </c>
      <c r="V36" s="14" t="n">
        <v>1</v>
      </c>
      <c r="W36" s="17" t="n">
        <f aca="false">DATE(YEAR(B36),MONTH(B36),1)</f>
        <v>46054</v>
      </c>
      <c r="X36" s="14" t="n">
        <f aca="false">IF(AND(N36&lt;&gt;"Cancelled",I36&lt;=AsOf),1,0)</f>
        <v>1</v>
      </c>
      <c r="Y36" s="14" t="n">
        <f aca="false">IF(AND(N36&lt;&gt;"Cancelled",OR(ISNUMBER(K36),N36="Completed")),1,0)</f>
        <v>1</v>
      </c>
      <c r="Z36" s="14" t="n">
        <f aca="false">IF(AND(Y36=1,U36=1,ISNUMBER(K36)),K36-I36,"")</f>
        <v>3</v>
      </c>
      <c r="AA36" s="14" t="str">
        <f aca="false">IF(Z36="","",IF(Z36&lt;0,"Early",IF(Z36=0,"On Time","Late")))</f>
        <v>Late</v>
      </c>
      <c r="AB36" s="14" t="n">
        <f aca="false">IF(AND(N36&lt;&gt;"Cancelled",L36&lt;=AsOf),1,0)</f>
        <v>1</v>
      </c>
      <c r="AC36" s="14" t="n">
        <f aca="false">IF(AND(N36&lt;&gt;"Cancelled",OR(ISNUMBER(M36),N36="Completed")),1,0)</f>
        <v>1</v>
      </c>
      <c r="AD36" s="14" t="n">
        <f aca="false">IF(AND(AC36=1,V36=1,ISNUMBER(M36)),M36-L36,"")</f>
        <v>3</v>
      </c>
      <c r="AE36" s="14" t="str">
        <f aca="false">IF(AD36="","",IF(AD36&lt;0,"Early",IF(AD36=0,"On Time","Late")))</f>
        <v>Late</v>
      </c>
      <c r="AF36" s="14" t="n">
        <f aca="false">IF(AND(T36=1,ISNUMBER(J36),N36&lt;&gt;"Cancelled"),J36-B36,"")</f>
        <v>15</v>
      </c>
      <c r="AG36" s="14" t="n">
        <f aca="false">IF(AND(AF36&lt;&gt;"",Z36&lt;&gt;""),K36-J36,"")</f>
        <v>2</v>
      </c>
      <c r="AH36" s="14" t="n">
        <f aca="false">IF(AND(Z36&lt;&gt;"",AD36&lt;&gt;""),M36-K36,"")</f>
        <v>3</v>
      </c>
      <c r="AI36" s="14" t="n">
        <f aca="false">IF(Z36&lt;&gt;"",K36-B36,"")</f>
        <v>17</v>
      </c>
      <c r="AJ36" s="14" t="n">
        <f aca="false">IF(AND(N36="Completed",AD36&lt;&gt;""),M36-B36,"")</f>
        <v>20</v>
      </c>
      <c r="AK36" s="14" t="str">
        <f aca="false">IF(N36="Cancelled","Cancelled",IF(N36="Completed","Completed",IF(Y36=1,"Awaiting Installation",IF(ISNUMBER(J36),"In Transit","In Production"))))</f>
        <v>Completed</v>
      </c>
      <c r="AL36" s="18" t="n">
        <f aca="false">IF(AND(N36="Pending",OR(AND(Y36=0,I36&lt;AsOf),AND(Y36=1,L36&lt;AsOf))),1,0)</f>
        <v>0</v>
      </c>
      <c r="AM36" s="14" t="str">
        <f aca="false">IF(AL36=1,IF(Y36=0,AsOf-I36,AsOf-L36),"")</f>
        <v/>
      </c>
      <c r="AN36" s="14" t="str">
        <f aca="false">IF(AL36=1,IF(Y36=0,"Delivery","Installation"),"")</f>
        <v/>
      </c>
      <c r="AO36" s="14" t="n">
        <f aca="false">IF(AND(OR(fCat="All",F36=fCat),OR(fCust="All",D36=fCust),OR(fReg="All",E36=fReg)),1,0)</f>
        <v>1</v>
      </c>
      <c r="AP36" s="14" t="n">
        <f aca="false">IF(AND(AL36=1,AO36=1),AM36+ROW()/100000,0)</f>
        <v>0</v>
      </c>
    </row>
    <row r="37" customFormat="false" ht="15" hidden="false" customHeight="false" outlineLevel="0" collapsed="false">
      <c r="A37" s="14" t="s">
        <v>267</v>
      </c>
      <c r="B37" s="15" t="n">
        <v>46079</v>
      </c>
      <c r="C37" s="14" t="s">
        <v>268</v>
      </c>
      <c r="D37" s="14" t="s">
        <v>90</v>
      </c>
      <c r="E37" s="14" t="s">
        <v>91</v>
      </c>
      <c r="F37" s="14" t="s">
        <v>160</v>
      </c>
      <c r="G37" s="14" t="n">
        <v>2</v>
      </c>
      <c r="H37" s="16" t="n">
        <v>264000</v>
      </c>
      <c r="I37" s="15" t="n">
        <v>46089</v>
      </c>
      <c r="J37" s="15" t="n">
        <v>46080</v>
      </c>
      <c r="K37" s="15" t="n">
        <v>46081</v>
      </c>
      <c r="L37" s="15" t="n">
        <v>46092</v>
      </c>
      <c r="M37" s="15" t="n">
        <v>46090</v>
      </c>
      <c r="N37" s="14" t="s">
        <v>75</v>
      </c>
      <c r="O37" s="14"/>
      <c r="P37" s="14"/>
      <c r="Q37" s="14"/>
      <c r="R37" s="14" t="s">
        <v>86</v>
      </c>
      <c r="S37" s="14" t="s">
        <v>745</v>
      </c>
      <c r="T37" s="14" t="n">
        <v>1</v>
      </c>
      <c r="U37" s="14" t="n">
        <v>1</v>
      </c>
      <c r="V37" s="14" t="n">
        <v>1</v>
      </c>
      <c r="W37" s="17" t="n">
        <f aca="false">DATE(YEAR(B37),MONTH(B37),1)</f>
        <v>46054</v>
      </c>
      <c r="X37" s="14" t="n">
        <f aca="false">IF(AND(N37&lt;&gt;"Cancelled",I37&lt;=AsOf),1,0)</f>
        <v>1</v>
      </c>
      <c r="Y37" s="14" t="n">
        <f aca="false">IF(AND(N37&lt;&gt;"Cancelled",OR(ISNUMBER(K37),N37="Completed")),1,0)</f>
        <v>1</v>
      </c>
      <c r="Z37" s="14" t="n">
        <f aca="false">IF(AND(Y37=1,U37=1,ISNUMBER(K37)),K37-I37,"")</f>
        <v>-8</v>
      </c>
      <c r="AA37" s="14" t="str">
        <f aca="false">IF(Z37="","",IF(Z37&lt;0,"Early",IF(Z37=0,"On Time","Late")))</f>
        <v>Early</v>
      </c>
      <c r="AB37" s="14" t="n">
        <f aca="false">IF(AND(N37&lt;&gt;"Cancelled",L37&lt;=AsOf),1,0)</f>
        <v>1</v>
      </c>
      <c r="AC37" s="14" t="n">
        <f aca="false">IF(AND(N37&lt;&gt;"Cancelled",OR(ISNUMBER(M37),N37="Completed")),1,0)</f>
        <v>1</v>
      </c>
      <c r="AD37" s="14" t="n">
        <f aca="false">IF(AND(AC37=1,V37=1,ISNUMBER(M37)),M37-L37,"")</f>
        <v>-2</v>
      </c>
      <c r="AE37" s="14" t="str">
        <f aca="false">IF(AD37="","",IF(AD37&lt;0,"Early",IF(AD37=0,"On Time","Late")))</f>
        <v>Early</v>
      </c>
      <c r="AF37" s="14" t="n">
        <f aca="false">IF(AND(T37=1,ISNUMBER(J37),N37&lt;&gt;"Cancelled"),J37-B37,"")</f>
        <v>1</v>
      </c>
      <c r="AG37" s="14" t="n">
        <f aca="false">IF(AND(AF37&lt;&gt;"",Z37&lt;&gt;""),K37-J37,"")</f>
        <v>1</v>
      </c>
      <c r="AH37" s="14" t="n">
        <f aca="false">IF(AND(Z37&lt;&gt;"",AD37&lt;&gt;""),M37-K37,"")</f>
        <v>9</v>
      </c>
      <c r="AI37" s="14" t="n">
        <f aca="false">IF(Z37&lt;&gt;"",K37-B37,"")</f>
        <v>2</v>
      </c>
      <c r="AJ37" s="14" t="n">
        <f aca="false">IF(AND(N37="Completed",AD37&lt;&gt;""),M37-B37,"")</f>
        <v>11</v>
      </c>
      <c r="AK37" s="14" t="str">
        <f aca="false">IF(N37="Cancelled","Cancelled",IF(N37="Completed","Completed",IF(Y37=1,"Awaiting Installation",IF(ISNUMBER(J37),"In Transit","In Production"))))</f>
        <v>Completed</v>
      </c>
      <c r="AL37" s="18" t="n">
        <f aca="false">IF(AND(N37="Pending",OR(AND(Y37=0,I37&lt;AsOf),AND(Y37=1,L37&lt;AsOf))),1,0)</f>
        <v>0</v>
      </c>
      <c r="AM37" s="14" t="str">
        <f aca="false">IF(AL37=1,IF(Y37=0,AsOf-I37,AsOf-L37),"")</f>
        <v/>
      </c>
      <c r="AN37" s="14" t="str">
        <f aca="false">IF(AL37=1,IF(Y37=0,"Delivery","Installation"),"")</f>
        <v/>
      </c>
      <c r="AO37" s="14" t="n">
        <f aca="false">IF(AND(OR(fCat="All",F37=fCat),OR(fCust="All",D37=fCust),OR(fReg="All",E37=fReg)),1,0)</f>
        <v>1</v>
      </c>
      <c r="AP37" s="14" t="n">
        <f aca="false">IF(AND(AL37=1,AO37=1),AM37+ROW()/100000,0)</f>
        <v>0</v>
      </c>
    </row>
    <row r="38" customFormat="false" ht="15" hidden="false" customHeight="false" outlineLevel="0" collapsed="false">
      <c r="A38" s="14" t="s">
        <v>271</v>
      </c>
      <c r="B38" s="15" t="n">
        <v>46080</v>
      </c>
      <c r="C38" s="14" t="s">
        <v>272</v>
      </c>
      <c r="D38" s="14" t="s">
        <v>90</v>
      </c>
      <c r="E38" s="14" t="s">
        <v>91</v>
      </c>
      <c r="F38" s="14" t="s">
        <v>67</v>
      </c>
      <c r="G38" s="14" t="n">
        <v>1</v>
      </c>
      <c r="H38" s="16" t="n">
        <v>1055000</v>
      </c>
      <c r="I38" s="15" t="n">
        <v>46098</v>
      </c>
      <c r="J38" s="15" t="n">
        <v>46090</v>
      </c>
      <c r="K38" s="15" t="n">
        <v>46092</v>
      </c>
      <c r="L38" s="15" t="n">
        <v>46103</v>
      </c>
      <c r="M38" s="15" t="n">
        <v>46096</v>
      </c>
      <c r="N38" s="14" t="s">
        <v>75</v>
      </c>
      <c r="O38" s="14"/>
      <c r="P38" s="14"/>
      <c r="Q38" s="14"/>
      <c r="R38" s="14" t="s">
        <v>134</v>
      </c>
      <c r="S38" s="14" t="s">
        <v>745</v>
      </c>
      <c r="T38" s="14" t="n">
        <v>1</v>
      </c>
      <c r="U38" s="14" t="n">
        <v>1</v>
      </c>
      <c r="V38" s="14" t="n">
        <v>1</v>
      </c>
      <c r="W38" s="17" t="n">
        <f aca="false">DATE(YEAR(B38),MONTH(B38),1)</f>
        <v>46054</v>
      </c>
      <c r="X38" s="14" t="n">
        <f aca="false">IF(AND(N38&lt;&gt;"Cancelled",I38&lt;=AsOf),1,0)</f>
        <v>1</v>
      </c>
      <c r="Y38" s="14" t="n">
        <f aca="false">IF(AND(N38&lt;&gt;"Cancelled",OR(ISNUMBER(K38),N38="Completed")),1,0)</f>
        <v>1</v>
      </c>
      <c r="Z38" s="14" t="n">
        <f aca="false">IF(AND(Y38=1,U38=1,ISNUMBER(K38)),K38-I38,"")</f>
        <v>-6</v>
      </c>
      <c r="AA38" s="14" t="str">
        <f aca="false">IF(Z38="","",IF(Z38&lt;0,"Early",IF(Z38=0,"On Time","Late")))</f>
        <v>Early</v>
      </c>
      <c r="AB38" s="14" t="n">
        <f aca="false">IF(AND(N38&lt;&gt;"Cancelled",L38&lt;=AsOf),1,0)</f>
        <v>1</v>
      </c>
      <c r="AC38" s="14" t="n">
        <f aca="false">IF(AND(N38&lt;&gt;"Cancelled",OR(ISNUMBER(M38),N38="Completed")),1,0)</f>
        <v>1</v>
      </c>
      <c r="AD38" s="14" t="n">
        <f aca="false">IF(AND(AC38=1,V38=1,ISNUMBER(M38)),M38-L38,"")</f>
        <v>-7</v>
      </c>
      <c r="AE38" s="14" t="str">
        <f aca="false">IF(AD38="","",IF(AD38&lt;0,"Early",IF(AD38=0,"On Time","Late")))</f>
        <v>Early</v>
      </c>
      <c r="AF38" s="14" t="n">
        <f aca="false">IF(AND(T38=1,ISNUMBER(J38),N38&lt;&gt;"Cancelled"),J38-B38,"")</f>
        <v>10</v>
      </c>
      <c r="AG38" s="14" t="n">
        <f aca="false">IF(AND(AF38&lt;&gt;"",Z38&lt;&gt;""),K38-J38,"")</f>
        <v>2</v>
      </c>
      <c r="AH38" s="14" t="n">
        <f aca="false">IF(AND(Z38&lt;&gt;"",AD38&lt;&gt;""),M38-K38,"")</f>
        <v>4</v>
      </c>
      <c r="AI38" s="14" t="n">
        <f aca="false">IF(Z38&lt;&gt;"",K38-B38,"")</f>
        <v>12</v>
      </c>
      <c r="AJ38" s="14" t="n">
        <f aca="false">IF(AND(N38="Completed",AD38&lt;&gt;""),M38-B38,"")</f>
        <v>16</v>
      </c>
      <c r="AK38" s="14" t="str">
        <f aca="false">IF(N38="Cancelled","Cancelled",IF(N38="Completed","Completed",IF(Y38=1,"Awaiting Installation",IF(ISNUMBER(J38),"In Transit","In Production"))))</f>
        <v>Completed</v>
      </c>
      <c r="AL38" s="18" t="n">
        <f aca="false">IF(AND(N38="Pending",OR(AND(Y38=0,I38&lt;AsOf),AND(Y38=1,L38&lt;AsOf))),1,0)</f>
        <v>0</v>
      </c>
      <c r="AM38" s="14" t="str">
        <f aca="false">IF(AL38=1,IF(Y38=0,AsOf-I38,AsOf-L38),"")</f>
        <v/>
      </c>
      <c r="AN38" s="14" t="str">
        <f aca="false">IF(AL38=1,IF(Y38=0,"Delivery","Installation"),"")</f>
        <v/>
      </c>
      <c r="AO38" s="14" t="n">
        <f aca="false">IF(AND(OR(fCat="All",F38=fCat),OR(fCust="All",D38=fCust),OR(fReg="All",E38=fReg)),1,0)</f>
        <v>1</v>
      </c>
      <c r="AP38" s="14" t="n">
        <f aca="false">IF(AND(AL38=1,AO38=1),AM38+ROW()/100000,0)</f>
        <v>0</v>
      </c>
    </row>
    <row r="39" customFormat="false" ht="15" hidden="false" customHeight="false" outlineLevel="0" collapsed="false">
      <c r="A39" s="14" t="s">
        <v>274</v>
      </c>
      <c r="B39" s="15" t="n">
        <v>46082</v>
      </c>
      <c r="C39" s="14" t="s">
        <v>275</v>
      </c>
      <c r="D39" s="14" t="s">
        <v>65</v>
      </c>
      <c r="E39" s="14" t="s">
        <v>91</v>
      </c>
      <c r="F39" s="14" t="s">
        <v>103</v>
      </c>
      <c r="G39" s="14" t="n">
        <v>1</v>
      </c>
      <c r="H39" s="16" t="n">
        <v>753000</v>
      </c>
      <c r="I39" s="15" t="n">
        <v>46103</v>
      </c>
      <c r="J39" s="15"/>
      <c r="K39" s="15"/>
      <c r="L39" s="15" t="n">
        <v>46108</v>
      </c>
      <c r="M39" s="15"/>
      <c r="N39" s="14" t="s">
        <v>188</v>
      </c>
      <c r="O39" s="14"/>
      <c r="P39" s="14"/>
      <c r="Q39" s="14" t="s">
        <v>189</v>
      </c>
      <c r="R39" s="14" t="s">
        <v>134</v>
      </c>
      <c r="S39" s="14" t="s">
        <v>745</v>
      </c>
      <c r="T39" s="14" t="n">
        <v>1</v>
      </c>
      <c r="U39" s="14" t="n">
        <v>1</v>
      </c>
      <c r="V39" s="14" t="n">
        <v>1</v>
      </c>
      <c r="W39" s="17" t="n">
        <f aca="false">DATE(YEAR(B39),MONTH(B39),1)</f>
        <v>46082</v>
      </c>
      <c r="X39" s="14" t="n">
        <f aca="false">IF(AND(N39&lt;&gt;"Cancelled",I39&lt;=AsOf),1,0)</f>
        <v>0</v>
      </c>
      <c r="Y39" s="14" t="n">
        <f aca="false">IF(AND(N39&lt;&gt;"Cancelled",OR(ISNUMBER(K39),N39="Completed")),1,0)</f>
        <v>0</v>
      </c>
      <c r="Z39" s="14" t="str">
        <f aca="false">IF(AND(Y39=1,U39=1,ISNUMBER(K39)),K39-I39,"")</f>
        <v/>
      </c>
      <c r="AA39" s="14" t="str">
        <f aca="false">IF(Z39="","",IF(Z39&lt;0,"Early",IF(Z39=0,"On Time","Late")))</f>
        <v/>
      </c>
      <c r="AB39" s="14" t="n">
        <f aca="false">IF(AND(N39&lt;&gt;"Cancelled",L39&lt;=AsOf),1,0)</f>
        <v>0</v>
      </c>
      <c r="AC39" s="14" t="n">
        <f aca="false">IF(AND(N39&lt;&gt;"Cancelled",OR(ISNUMBER(M39),N39="Completed")),1,0)</f>
        <v>0</v>
      </c>
      <c r="AD39" s="14" t="str">
        <f aca="false">IF(AND(AC39=1,V39=1,ISNUMBER(M39)),M39-L39,"")</f>
        <v/>
      </c>
      <c r="AE39" s="14" t="str">
        <f aca="false">IF(AD39="","",IF(AD39&lt;0,"Early",IF(AD39=0,"On Time","Late")))</f>
        <v/>
      </c>
      <c r="AF39" s="14" t="str">
        <f aca="false">IF(AND(T39=1,ISNUMBER(J39),N39&lt;&gt;"Cancelled"),J39-B39,"")</f>
        <v/>
      </c>
      <c r="AG39" s="14" t="str">
        <f aca="false">IF(AND(AF39&lt;&gt;"",Z39&lt;&gt;""),K39-J39,"")</f>
        <v/>
      </c>
      <c r="AH39" s="14" t="str">
        <f aca="false">IF(AND(Z39&lt;&gt;"",AD39&lt;&gt;""),M39-K39,"")</f>
        <v/>
      </c>
      <c r="AI39" s="14" t="str">
        <f aca="false">IF(Z39&lt;&gt;"",K39-B39,"")</f>
        <v/>
      </c>
      <c r="AJ39" s="14" t="str">
        <f aca="false">IF(AND(N39="Completed",AD39&lt;&gt;""),M39-B39,"")</f>
        <v/>
      </c>
      <c r="AK39" s="14" t="str">
        <f aca="false">IF(N39="Cancelled","Cancelled",IF(N39="Completed","Completed",IF(Y39=1,"Awaiting Installation",IF(ISNUMBER(J39),"In Transit","In Production"))))</f>
        <v>Cancelled</v>
      </c>
      <c r="AL39" s="18" t="n">
        <f aca="false">IF(AND(N39="Pending",OR(AND(Y39=0,I39&lt;AsOf),AND(Y39=1,L39&lt;AsOf))),1,0)</f>
        <v>0</v>
      </c>
      <c r="AM39" s="14" t="str">
        <f aca="false">IF(AL39=1,IF(Y39=0,AsOf-I39,AsOf-L39),"")</f>
        <v/>
      </c>
      <c r="AN39" s="14" t="str">
        <f aca="false">IF(AL39=1,IF(Y39=0,"Delivery","Installation"),"")</f>
        <v/>
      </c>
      <c r="AO39" s="14" t="n">
        <f aca="false">IF(AND(OR(fCat="All",F39=fCat),OR(fCust="All",D39=fCust),OR(fReg="All",E39=fReg)),1,0)</f>
        <v>1</v>
      </c>
      <c r="AP39" s="14" t="n">
        <f aca="false">IF(AND(AL39=1,AO39=1),AM39+ROW()/100000,0)</f>
        <v>0</v>
      </c>
    </row>
    <row r="40" customFormat="false" ht="15" hidden="false" customHeight="false" outlineLevel="0" collapsed="false">
      <c r="A40" s="14" t="s">
        <v>277</v>
      </c>
      <c r="B40" s="15" t="n">
        <v>46082</v>
      </c>
      <c r="C40" s="14" t="s">
        <v>278</v>
      </c>
      <c r="D40" s="14" t="s">
        <v>65</v>
      </c>
      <c r="E40" s="14" t="s">
        <v>91</v>
      </c>
      <c r="F40" s="14" t="s">
        <v>160</v>
      </c>
      <c r="G40" s="14" t="n">
        <v>2</v>
      </c>
      <c r="H40" s="16" t="n">
        <v>260000</v>
      </c>
      <c r="I40" s="15" t="n">
        <v>46092</v>
      </c>
      <c r="J40" s="15" t="n">
        <v>46085</v>
      </c>
      <c r="K40" s="15" t="n">
        <v>46086</v>
      </c>
      <c r="L40" s="15" t="n">
        <v>46095</v>
      </c>
      <c r="M40" s="15" t="n">
        <v>46087</v>
      </c>
      <c r="N40" s="14" t="s">
        <v>75</v>
      </c>
      <c r="O40" s="14"/>
      <c r="P40" s="14"/>
      <c r="Q40" s="14"/>
      <c r="R40" s="14"/>
      <c r="S40" s="14" t="s">
        <v>745</v>
      </c>
      <c r="T40" s="14" t="n">
        <v>1</v>
      </c>
      <c r="U40" s="14" t="n">
        <v>1</v>
      </c>
      <c r="V40" s="14" t="n">
        <v>1</v>
      </c>
      <c r="W40" s="17" t="n">
        <f aca="false">DATE(YEAR(B40),MONTH(B40),1)</f>
        <v>46082</v>
      </c>
      <c r="X40" s="14" t="n">
        <f aca="false">IF(AND(N40&lt;&gt;"Cancelled",I40&lt;=AsOf),1,0)</f>
        <v>1</v>
      </c>
      <c r="Y40" s="14" t="n">
        <f aca="false">IF(AND(N40&lt;&gt;"Cancelled",OR(ISNUMBER(K40),N40="Completed")),1,0)</f>
        <v>1</v>
      </c>
      <c r="Z40" s="14" t="n">
        <f aca="false">IF(AND(Y40=1,U40=1,ISNUMBER(K40)),K40-I40,"")</f>
        <v>-6</v>
      </c>
      <c r="AA40" s="14" t="str">
        <f aca="false">IF(Z40="","",IF(Z40&lt;0,"Early",IF(Z40=0,"On Time","Late")))</f>
        <v>Early</v>
      </c>
      <c r="AB40" s="14" t="n">
        <f aca="false">IF(AND(N40&lt;&gt;"Cancelled",L40&lt;=AsOf),1,0)</f>
        <v>1</v>
      </c>
      <c r="AC40" s="14" t="n">
        <f aca="false">IF(AND(N40&lt;&gt;"Cancelled",OR(ISNUMBER(M40),N40="Completed")),1,0)</f>
        <v>1</v>
      </c>
      <c r="AD40" s="14" t="n">
        <f aca="false">IF(AND(AC40=1,V40=1,ISNUMBER(M40)),M40-L40,"")</f>
        <v>-8</v>
      </c>
      <c r="AE40" s="14" t="str">
        <f aca="false">IF(AD40="","",IF(AD40&lt;0,"Early",IF(AD40=0,"On Time","Late")))</f>
        <v>Early</v>
      </c>
      <c r="AF40" s="14" t="n">
        <f aca="false">IF(AND(T40=1,ISNUMBER(J40),N40&lt;&gt;"Cancelled"),J40-B40,"")</f>
        <v>3</v>
      </c>
      <c r="AG40" s="14" t="n">
        <f aca="false">IF(AND(AF40&lt;&gt;"",Z40&lt;&gt;""),K40-J40,"")</f>
        <v>1</v>
      </c>
      <c r="AH40" s="14" t="n">
        <f aca="false">IF(AND(Z40&lt;&gt;"",AD40&lt;&gt;""),M40-K40,"")</f>
        <v>1</v>
      </c>
      <c r="AI40" s="14" t="n">
        <f aca="false">IF(Z40&lt;&gt;"",K40-B40,"")</f>
        <v>4</v>
      </c>
      <c r="AJ40" s="14" t="n">
        <f aca="false">IF(AND(N40="Completed",AD40&lt;&gt;""),M40-B40,"")</f>
        <v>5</v>
      </c>
      <c r="AK40" s="14" t="str">
        <f aca="false">IF(N40="Cancelled","Cancelled",IF(N40="Completed","Completed",IF(Y40=1,"Awaiting Installation",IF(ISNUMBER(J40),"In Transit","In Production"))))</f>
        <v>Completed</v>
      </c>
      <c r="AL40" s="18" t="n">
        <f aca="false">IF(AND(N40="Pending",OR(AND(Y40=0,I40&lt;AsOf),AND(Y40=1,L40&lt;AsOf))),1,0)</f>
        <v>0</v>
      </c>
      <c r="AM40" s="14" t="str">
        <f aca="false">IF(AL40=1,IF(Y40=0,AsOf-I40,AsOf-L40),"")</f>
        <v/>
      </c>
      <c r="AN40" s="14" t="str">
        <f aca="false">IF(AL40=1,IF(Y40=0,"Delivery","Installation"),"")</f>
        <v/>
      </c>
      <c r="AO40" s="14" t="n">
        <f aca="false">IF(AND(OR(fCat="All",F40=fCat),OR(fCust="All",D40=fCust),OR(fReg="All",E40=fReg)),1,0)</f>
        <v>1</v>
      </c>
      <c r="AP40" s="14" t="n">
        <f aca="false">IF(AND(AL40=1,AO40=1),AM40+ROW()/100000,0)</f>
        <v>0</v>
      </c>
    </row>
    <row r="41" customFormat="false" ht="15" hidden="false" customHeight="false" outlineLevel="0" collapsed="false">
      <c r="A41" s="14" t="s">
        <v>280</v>
      </c>
      <c r="B41" s="15" t="n">
        <v>46083</v>
      </c>
      <c r="C41" s="14" t="s">
        <v>217</v>
      </c>
      <c r="D41" s="14" t="s">
        <v>65</v>
      </c>
      <c r="E41" s="14" t="s">
        <v>91</v>
      </c>
      <c r="F41" s="14" t="s">
        <v>103</v>
      </c>
      <c r="G41" s="14" t="n">
        <v>2</v>
      </c>
      <c r="H41" s="16" t="n">
        <v>1030000</v>
      </c>
      <c r="I41" s="15" t="n">
        <v>46104</v>
      </c>
      <c r="J41" s="15" t="n">
        <v>46098</v>
      </c>
      <c r="K41" s="15" t="n">
        <v>46099</v>
      </c>
      <c r="L41" s="15" t="n">
        <v>46109</v>
      </c>
      <c r="M41" s="15" t="n">
        <v>46114</v>
      </c>
      <c r="N41" s="14" t="s">
        <v>75</v>
      </c>
      <c r="O41" s="14"/>
      <c r="P41" s="14" t="s">
        <v>183</v>
      </c>
      <c r="Q41" s="14"/>
      <c r="R41" s="14" t="s">
        <v>134</v>
      </c>
      <c r="S41" s="14" t="s">
        <v>745</v>
      </c>
      <c r="T41" s="14" t="n">
        <v>1</v>
      </c>
      <c r="U41" s="14" t="n">
        <v>1</v>
      </c>
      <c r="V41" s="14" t="n">
        <v>1</v>
      </c>
      <c r="W41" s="17" t="n">
        <f aca="false">DATE(YEAR(B41),MONTH(B41),1)</f>
        <v>46082</v>
      </c>
      <c r="X41" s="14" t="n">
        <f aca="false">IF(AND(N41&lt;&gt;"Cancelled",I41&lt;=AsOf),1,0)</f>
        <v>1</v>
      </c>
      <c r="Y41" s="14" t="n">
        <f aca="false">IF(AND(N41&lt;&gt;"Cancelled",OR(ISNUMBER(K41),N41="Completed")),1,0)</f>
        <v>1</v>
      </c>
      <c r="Z41" s="14" t="n">
        <f aca="false">IF(AND(Y41=1,U41=1,ISNUMBER(K41)),K41-I41,"")</f>
        <v>-5</v>
      </c>
      <c r="AA41" s="14" t="str">
        <f aca="false">IF(Z41="","",IF(Z41&lt;0,"Early",IF(Z41=0,"On Time","Late")))</f>
        <v>Early</v>
      </c>
      <c r="AB41" s="14" t="n">
        <f aca="false">IF(AND(N41&lt;&gt;"Cancelled",L41&lt;=AsOf),1,0)</f>
        <v>1</v>
      </c>
      <c r="AC41" s="14" t="n">
        <f aca="false">IF(AND(N41&lt;&gt;"Cancelled",OR(ISNUMBER(M41),N41="Completed")),1,0)</f>
        <v>1</v>
      </c>
      <c r="AD41" s="14" t="n">
        <f aca="false">IF(AND(AC41=1,V41=1,ISNUMBER(M41)),M41-L41,"")</f>
        <v>5</v>
      </c>
      <c r="AE41" s="14" t="str">
        <f aca="false">IF(AD41="","",IF(AD41&lt;0,"Early",IF(AD41=0,"On Time","Late")))</f>
        <v>Late</v>
      </c>
      <c r="AF41" s="14" t="n">
        <f aca="false">IF(AND(T41=1,ISNUMBER(J41),N41&lt;&gt;"Cancelled"),J41-B41,"")</f>
        <v>15</v>
      </c>
      <c r="AG41" s="14" t="n">
        <f aca="false">IF(AND(AF41&lt;&gt;"",Z41&lt;&gt;""),K41-J41,"")</f>
        <v>1</v>
      </c>
      <c r="AH41" s="14" t="n">
        <f aca="false">IF(AND(Z41&lt;&gt;"",AD41&lt;&gt;""),M41-K41,"")</f>
        <v>15</v>
      </c>
      <c r="AI41" s="14" t="n">
        <f aca="false">IF(Z41&lt;&gt;"",K41-B41,"")</f>
        <v>16</v>
      </c>
      <c r="AJ41" s="14" t="n">
        <f aca="false">IF(AND(N41="Completed",AD41&lt;&gt;""),M41-B41,"")</f>
        <v>31</v>
      </c>
      <c r="AK41" s="14" t="str">
        <f aca="false">IF(N41="Cancelled","Cancelled",IF(N41="Completed","Completed",IF(Y41=1,"Awaiting Installation",IF(ISNUMBER(J41),"In Transit","In Production"))))</f>
        <v>Completed</v>
      </c>
      <c r="AL41" s="18" t="n">
        <f aca="false">IF(AND(N41="Pending",OR(AND(Y41=0,I41&lt;AsOf),AND(Y41=1,L41&lt;AsOf))),1,0)</f>
        <v>0</v>
      </c>
      <c r="AM41" s="14" t="str">
        <f aca="false">IF(AL41=1,IF(Y41=0,AsOf-I41,AsOf-L41),"")</f>
        <v/>
      </c>
      <c r="AN41" s="14" t="str">
        <f aca="false">IF(AL41=1,IF(Y41=0,"Delivery","Installation"),"")</f>
        <v/>
      </c>
      <c r="AO41" s="14" t="n">
        <f aca="false">IF(AND(OR(fCat="All",F41=fCat),OR(fCust="All",D41=fCust),OR(fReg="All",E41=fReg)),1,0)</f>
        <v>1</v>
      </c>
      <c r="AP41" s="14" t="n">
        <f aca="false">IF(AND(AL41=1,AO41=1),AM41+ROW()/100000,0)</f>
        <v>0</v>
      </c>
    </row>
    <row r="42" customFormat="false" ht="15" hidden="false" customHeight="false" outlineLevel="0" collapsed="false">
      <c r="A42" s="14" t="s">
        <v>284</v>
      </c>
      <c r="B42" s="15" t="n">
        <v>46084</v>
      </c>
      <c r="C42" s="14" t="s">
        <v>285</v>
      </c>
      <c r="D42" s="14" t="s">
        <v>90</v>
      </c>
      <c r="E42" s="14" t="s">
        <v>91</v>
      </c>
      <c r="F42" s="14" t="s">
        <v>150</v>
      </c>
      <c r="G42" s="14" t="n">
        <v>1</v>
      </c>
      <c r="H42" s="16" t="n">
        <v>426000</v>
      </c>
      <c r="I42" s="15" t="n">
        <v>46098</v>
      </c>
      <c r="J42" s="15" t="n">
        <v>46094</v>
      </c>
      <c r="K42" s="15" t="n">
        <v>46095</v>
      </c>
      <c r="L42" s="15" t="n">
        <v>46101</v>
      </c>
      <c r="M42" s="15" t="n">
        <v>46096</v>
      </c>
      <c r="N42" s="14" t="s">
        <v>75</v>
      </c>
      <c r="O42" s="14"/>
      <c r="P42" s="14"/>
      <c r="Q42" s="14"/>
      <c r="R42" s="14"/>
      <c r="S42" s="14" t="s">
        <v>745</v>
      </c>
      <c r="T42" s="14" t="n">
        <v>1</v>
      </c>
      <c r="U42" s="14" t="n">
        <v>1</v>
      </c>
      <c r="V42" s="14" t="n">
        <v>1</v>
      </c>
      <c r="W42" s="17" t="n">
        <f aca="false">DATE(YEAR(B42),MONTH(B42),1)</f>
        <v>46082</v>
      </c>
      <c r="X42" s="14" t="n">
        <f aca="false">IF(AND(N42&lt;&gt;"Cancelled",I42&lt;=AsOf),1,0)</f>
        <v>1</v>
      </c>
      <c r="Y42" s="14" t="n">
        <f aca="false">IF(AND(N42&lt;&gt;"Cancelled",OR(ISNUMBER(K42),N42="Completed")),1,0)</f>
        <v>1</v>
      </c>
      <c r="Z42" s="14" t="n">
        <f aca="false">IF(AND(Y42=1,U42=1,ISNUMBER(K42)),K42-I42,"")</f>
        <v>-3</v>
      </c>
      <c r="AA42" s="14" t="str">
        <f aca="false">IF(Z42="","",IF(Z42&lt;0,"Early",IF(Z42=0,"On Time","Late")))</f>
        <v>Early</v>
      </c>
      <c r="AB42" s="14" t="n">
        <f aca="false">IF(AND(N42&lt;&gt;"Cancelled",L42&lt;=AsOf),1,0)</f>
        <v>1</v>
      </c>
      <c r="AC42" s="14" t="n">
        <f aca="false">IF(AND(N42&lt;&gt;"Cancelled",OR(ISNUMBER(M42),N42="Completed")),1,0)</f>
        <v>1</v>
      </c>
      <c r="AD42" s="14" t="n">
        <f aca="false">IF(AND(AC42=1,V42=1,ISNUMBER(M42)),M42-L42,"")</f>
        <v>-5</v>
      </c>
      <c r="AE42" s="14" t="str">
        <f aca="false">IF(AD42="","",IF(AD42&lt;0,"Early",IF(AD42=0,"On Time","Late")))</f>
        <v>Early</v>
      </c>
      <c r="AF42" s="14" t="n">
        <f aca="false">IF(AND(T42=1,ISNUMBER(J42),N42&lt;&gt;"Cancelled"),J42-B42,"")</f>
        <v>10</v>
      </c>
      <c r="AG42" s="14" t="n">
        <f aca="false">IF(AND(AF42&lt;&gt;"",Z42&lt;&gt;""),K42-J42,"")</f>
        <v>1</v>
      </c>
      <c r="AH42" s="14" t="n">
        <f aca="false">IF(AND(Z42&lt;&gt;"",AD42&lt;&gt;""),M42-K42,"")</f>
        <v>1</v>
      </c>
      <c r="AI42" s="14" t="n">
        <f aca="false">IF(Z42&lt;&gt;"",K42-B42,"")</f>
        <v>11</v>
      </c>
      <c r="AJ42" s="14" t="n">
        <f aca="false">IF(AND(N42="Completed",AD42&lt;&gt;""),M42-B42,"")</f>
        <v>12</v>
      </c>
      <c r="AK42" s="14" t="str">
        <f aca="false">IF(N42="Cancelled","Cancelled",IF(N42="Completed","Completed",IF(Y42=1,"Awaiting Installation",IF(ISNUMBER(J42),"In Transit","In Production"))))</f>
        <v>Completed</v>
      </c>
      <c r="AL42" s="18" t="n">
        <f aca="false">IF(AND(N42="Pending",OR(AND(Y42=0,I42&lt;AsOf),AND(Y42=1,L42&lt;AsOf))),1,0)</f>
        <v>0</v>
      </c>
      <c r="AM42" s="14" t="str">
        <f aca="false">IF(AL42=1,IF(Y42=0,AsOf-I42,AsOf-L42),"")</f>
        <v/>
      </c>
      <c r="AN42" s="14" t="str">
        <f aca="false">IF(AL42=1,IF(Y42=0,"Delivery","Installation"),"")</f>
        <v/>
      </c>
      <c r="AO42" s="14" t="n">
        <f aca="false">IF(AND(OR(fCat="All",F42=fCat),OR(fCust="All",D42=fCust),OR(fReg="All",E42=fReg)),1,0)</f>
        <v>1</v>
      </c>
      <c r="AP42" s="14" t="n">
        <f aca="false">IF(AND(AL42=1,AO42=1),AM42+ROW()/100000,0)</f>
        <v>0</v>
      </c>
    </row>
    <row r="43" customFormat="false" ht="15" hidden="false" customHeight="false" outlineLevel="0" collapsed="false">
      <c r="A43" s="14" t="s">
        <v>288</v>
      </c>
      <c r="B43" s="15" t="n">
        <v>46090</v>
      </c>
      <c r="C43" s="14" t="s">
        <v>289</v>
      </c>
      <c r="D43" s="14" t="s">
        <v>65</v>
      </c>
      <c r="E43" s="14" t="s">
        <v>91</v>
      </c>
      <c r="F43" s="14" t="s">
        <v>67</v>
      </c>
      <c r="G43" s="14" t="n">
        <v>3</v>
      </c>
      <c r="H43" s="16" t="n">
        <v>1974000</v>
      </c>
      <c r="I43" s="15" t="n">
        <v>46108</v>
      </c>
      <c r="J43" s="15" t="n">
        <v>46102</v>
      </c>
      <c r="K43" s="15" t="n">
        <v>46104</v>
      </c>
      <c r="L43" s="15" t="n">
        <v>46113</v>
      </c>
      <c r="M43" s="15" t="n">
        <v>46108</v>
      </c>
      <c r="N43" s="14" t="s">
        <v>75</v>
      </c>
      <c r="O43" s="14"/>
      <c r="P43" s="14"/>
      <c r="Q43" s="14"/>
      <c r="R43" s="14" t="s">
        <v>134</v>
      </c>
      <c r="S43" s="14" t="s">
        <v>745</v>
      </c>
      <c r="T43" s="14" t="n">
        <v>1</v>
      </c>
      <c r="U43" s="14" t="n">
        <v>1</v>
      </c>
      <c r="V43" s="14" t="n">
        <v>1</v>
      </c>
      <c r="W43" s="17" t="n">
        <f aca="false">DATE(YEAR(B43),MONTH(B43),1)</f>
        <v>46082</v>
      </c>
      <c r="X43" s="14" t="n">
        <f aca="false">IF(AND(N43&lt;&gt;"Cancelled",I43&lt;=AsOf),1,0)</f>
        <v>1</v>
      </c>
      <c r="Y43" s="14" t="n">
        <f aca="false">IF(AND(N43&lt;&gt;"Cancelled",OR(ISNUMBER(K43),N43="Completed")),1,0)</f>
        <v>1</v>
      </c>
      <c r="Z43" s="14" t="n">
        <f aca="false">IF(AND(Y43=1,U43=1,ISNUMBER(K43)),K43-I43,"")</f>
        <v>-4</v>
      </c>
      <c r="AA43" s="14" t="str">
        <f aca="false">IF(Z43="","",IF(Z43&lt;0,"Early",IF(Z43=0,"On Time","Late")))</f>
        <v>Early</v>
      </c>
      <c r="AB43" s="14" t="n">
        <f aca="false">IF(AND(N43&lt;&gt;"Cancelled",L43&lt;=AsOf),1,0)</f>
        <v>1</v>
      </c>
      <c r="AC43" s="14" t="n">
        <f aca="false">IF(AND(N43&lt;&gt;"Cancelled",OR(ISNUMBER(M43),N43="Completed")),1,0)</f>
        <v>1</v>
      </c>
      <c r="AD43" s="14" t="n">
        <f aca="false">IF(AND(AC43=1,V43=1,ISNUMBER(M43)),M43-L43,"")</f>
        <v>-5</v>
      </c>
      <c r="AE43" s="14" t="str">
        <f aca="false">IF(AD43="","",IF(AD43&lt;0,"Early",IF(AD43=0,"On Time","Late")))</f>
        <v>Early</v>
      </c>
      <c r="AF43" s="14" t="n">
        <f aca="false">IF(AND(T43=1,ISNUMBER(J43),N43&lt;&gt;"Cancelled"),J43-B43,"")</f>
        <v>12</v>
      </c>
      <c r="AG43" s="14" t="n">
        <f aca="false">IF(AND(AF43&lt;&gt;"",Z43&lt;&gt;""),K43-J43,"")</f>
        <v>2</v>
      </c>
      <c r="AH43" s="14" t="n">
        <f aca="false">IF(AND(Z43&lt;&gt;"",AD43&lt;&gt;""),M43-K43,"")</f>
        <v>4</v>
      </c>
      <c r="AI43" s="14" t="n">
        <f aca="false">IF(Z43&lt;&gt;"",K43-B43,"")</f>
        <v>14</v>
      </c>
      <c r="AJ43" s="14" t="n">
        <f aca="false">IF(AND(N43="Completed",AD43&lt;&gt;""),M43-B43,"")</f>
        <v>18</v>
      </c>
      <c r="AK43" s="14" t="str">
        <f aca="false">IF(N43="Cancelled","Cancelled",IF(N43="Completed","Completed",IF(Y43=1,"Awaiting Installation",IF(ISNUMBER(J43),"In Transit","In Production"))))</f>
        <v>Completed</v>
      </c>
      <c r="AL43" s="18" t="n">
        <f aca="false">IF(AND(N43="Pending",OR(AND(Y43=0,I43&lt;AsOf),AND(Y43=1,L43&lt;AsOf))),1,0)</f>
        <v>0</v>
      </c>
      <c r="AM43" s="14" t="str">
        <f aca="false">IF(AL43=1,IF(Y43=0,AsOf-I43,AsOf-L43),"")</f>
        <v/>
      </c>
      <c r="AN43" s="14" t="str">
        <f aca="false">IF(AL43=1,IF(Y43=0,"Delivery","Installation"),"")</f>
        <v/>
      </c>
      <c r="AO43" s="14" t="n">
        <f aca="false">IF(AND(OR(fCat="All",F43=fCat),OR(fCust="All",D43=fCust),OR(fReg="All",E43=fReg)),1,0)</f>
        <v>1</v>
      </c>
      <c r="AP43" s="14" t="n">
        <f aca="false">IF(AND(AL43=1,AO43=1),AM43+ROW()/100000,0)</f>
        <v>0</v>
      </c>
    </row>
    <row r="44" customFormat="false" ht="15" hidden="false" customHeight="false" outlineLevel="0" collapsed="false">
      <c r="A44" s="14" t="s">
        <v>292</v>
      </c>
      <c r="B44" s="15" t="n">
        <v>46091</v>
      </c>
      <c r="C44" s="14" t="s">
        <v>293</v>
      </c>
      <c r="D44" s="14" t="s">
        <v>149</v>
      </c>
      <c r="E44" s="14" t="s">
        <v>91</v>
      </c>
      <c r="F44" s="14" t="s">
        <v>150</v>
      </c>
      <c r="G44" s="14" t="n">
        <v>1</v>
      </c>
      <c r="H44" s="16" t="n">
        <v>225000</v>
      </c>
      <c r="I44" s="15" t="n">
        <v>46105</v>
      </c>
      <c r="J44" s="15" t="n">
        <v>46102</v>
      </c>
      <c r="K44" s="15" t="n">
        <v>46104</v>
      </c>
      <c r="L44" s="15" t="n">
        <v>46108</v>
      </c>
      <c r="M44" s="15" t="n">
        <v>46105</v>
      </c>
      <c r="N44" s="14" t="s">
        <v>75</v>
      </c>
      <c r="O44" s="14"/>
      <c r="P44" s="14"/>
      <c r="Q44" s="14"/>
      <c r="R44" s="14" t="s">
        <v>134</v>
      </c>
      <c r="S44" s="14" t="s">
        <v>745</v>
      </c>
      <c r="T44" s="14" t="n">
        <v>1</v>
      </c>
      <c r="U44" s="14" t="n">
        <v>1</v>
      </c>
      <c r="V44" s="14" t="n">
        <v>1</v>
      </c>
      <c r="W44" s="17" t="n">
        <f aca="false">DATE(YEAR(B44),MONTH(B44),1)</f>
        <v>46082</v>
      </c>
      <c r="X44" s="14" t="n">
        <f aca="false">IF(AND(N44&lt;&gt;"Cancelled",I44&lt;=AsOf),1,0)</f>
        <v>1</v>
      </c>
      <c r="Y44" s="14" t="n">
        <f aca="false">IF(AND(N44&lt;&gt;"Cancelled",OR(ISNUMBER(K44),N44="Completed")),1,0)</f>
        <v>1</v>
      </c>
      <c r="Z44" s="14" t="n">
        <f aca="false">IF(AND(Y44=1,U44=1,ISNUMBER(K44)),K44-I44,"")</f>
        <v>-1</v>
      </c>
      <c r="AA44" s="14" t="str">
        <f aca="false">IF(Z44="","",IF(Z44&lt;0,"Early",IF(Z44=0,"On Time","Late")))</f>
        <v>Early</v>
      </c>
      <c r="AB44" s="14" t="n">
        <f aca="false">IF(AND(N44&lt;&gt;"Cancelled",L44&lt;=AsOf),1,0)</f>
        <v>1</v>
      </c>
      <c r="AC44" s="14" t="n">
        <f aca="false">IF(AND(N44&lt;&gt;"Cancelled",OR(ISNUMBER(M44),N44="Completed")),1,0)</f>
        <v>1</v>
      </c>
      <c r="AD44" s="14" t="n">
        <f aca="false">IF(AND(AC44=1,V44=1,ISNUMBER(M44)),M44-L44,"")</f>
        <v>-3</v>
      </c>
      <c r="AE44" s="14" t="str">
        <f aca="false">IF(AD44="","",IF(AD44&lt;0,"Early",IF(AD44=0,"On Time","Late")))</f>
        <v>Early</v>
      </c>
      <c r="AF44" s="14" t="n">
        <f aca="false">IF(AND(T44=1,ISNUMBER(J44),N44&lt;&gt;"Cancelled"),J44-B44,"")</f>
        <v>11</v>
      </c>
      <c r="AG44" s="14" t="n">
        <f aca="false">IF(AND(AF44&lt;&gt;"",Z44&lt;&gt;""),K44-J44,"")</f>
        <v>2</v>
      </c>
      <c r="AH44" s="14" t="n">
        <f aca="false">IF(AND(Z44&lt;&gt;"",AD44&lt;&gt;""),M44-K44,"")</f>
        <v>1</v>
      </c>
      <c r="AI44" s="14" t="n">
        <f aca="false">IF(Z44&lt;&gt;"",K44-B44,"")</f>
        <v>13</v>
      </c>
      <c r="AJ44" s="14" t="n">
        <f aca="false">IF(AND(N44="Completed",AD44&lt;&gt;""),M44-B44,"")</f>
        <v>14</v>
      </c>
      <c r="AK44" s="14" t="str">
        <f aca="false">IF(N44="Cancelled","Cancelled",IF(N44="Completed","Completed",IF(Y44=1,"Awaiting Installation",IF(ISNUMBER(J44),"In Transit","In Production"))))</f>
        <v>Completed</v>
      </c>
      <c r="AL44" s="18" t="n">
        <f aca="false">IF(AND(N44="Pending",OR(AND(Y44=0,I44&lt;AsOf),AND(Y44=1,L44&lt;AsOf))),1,0)</f>
        <v>0</v>
      </c>
      <c r="AM44" s="14" t="str">
        <f aca="false">IF(AL44=1,IF(Y44=0,AsOf-I44,AsOf-L44),"")</f>
        <v/>
      </c>
      <c r="AN44" s="14" t="str">
        <f aca="false">IF(AL44=1,IF(Y44=0,"Delivery","Installation"),"")</f>
        <v/>
      </c>
      <c r="AO44" s="14" t="n">
        <f aca="false">IF(AND(OR(fCat="All",F44=fCat),OR(fCust="All",D44=fCust),OR(fReg="All",E44=fReg)),1,0)</f>
        <v>1</v>
      </c>
      <c r="AP44" s="14" t="n">
        <f aca="false">IF(AND(AL44=1,AO44=1),AM44+ROW()/100000,0)</f>
        <v>0</v>
      </c>
    </row>
    <row r="45" customFormat="false" ht="15" hidden="false" customHeight="false" outlineLevel="0" collapsed="false">
      <c r="A45" s="14" t="s">
        <v>295</v>
      </c>
      <c r="B45" s="15" t="n">
        <v>46095</v>
      </c>
      <c r="C45" s="14" t="s">
        <v>296</v>
      </c>
      <c r="D45" s="14" t="s">
        <v>90</v>
      </c>
      <c r="E45" s="14" t="s">
        <v>91</v>
      </c>
      <c r="F45" s="14" t="s">
        <v>150</v>
      </c>
      <c r="G45" s="14" t="n">
        <v>2</v>
      </c>
      <c r="H45" s="16" t="n">
        <v>1174000</v>
      </c>
      <c r="I45" s="15" t="n">
        <v>46109</v>
      </c>
      <c r="J45" s="15" t="n">
        <v>46106</v>
      </c>
      <c r="K45" s="15" t="n">
        <v>46108</v>
      </c>
      <c r="L45" s="15" t="n">
        <v>46112</v>
      </c>
      <c r="M45" s="15" t="n">
        <v>46110</v>
      </c>
      <c r="N45" s="14" t="s">
        <v>75</v>
      </c>
      <c r="O45" s="14"/>
      <c r="P45" s="14"/>
      <c r="Q45" s="14"/>
      <c r="R45" s="14"/>
      <c r="S45" s="14" t="s">
        <v>745</v>
      </c>
      <c r="T45" s="14" t="n">
        <v>1</v>
      </c>
      <c r="U45" s="14" t="n">
        <v>1</v>
      </c>
      <c r="V45" s="14" t="n">
        <v>1</v>
      </c>
      <c r="W45" s="17" t="n">
        <f aca="false">DATE(YEAR(B45),MONTH(B45),1)</f>
        <v>46082</v>
      </c>
      <c r="X45" s="14" t="n">
        <f aca="false">IF(AND(N45&lt;&gt;"Cancelled",I45&lt;=AsOf),1,0)</f>
        <v>1</v>
      </c>
      <c r="Y45" s="14" t="n">
        <f aca="false">IF(AND(N45&lt;&gt;"Cancelled",OR(ISNUMBER(K45),N45="Completed")),1,0)</f>
        <v>1</v>
      </c>
      <c r="Z45" s="14" t="n">
        <f aca="false">IF(AND(Y45=1,U45=1,ISNUMBER(K45)),K45-I45,"")</f>
        <v>-1</v>
      </c>
      <c r="AA45" s="14" t="str">
        <f aca="false">IF(Z45="","",IF(Z45&lt;0,"Early",IF(Z45=0,"On Time","Late")))</f>
        <v>Early</v>
      </c>
      <c r="AB45" s="14" t="n">
        <f aca="false">IF(AND(N45&lt;&gt;"Cancelled",L45&lt;=AsOf),1,0)</f>
        <v>1</v>
      </c>
      <c r="AC45" s="14" t="n">
        <f aca="false">IF(AND(N45&lt;&gt;"Cancelled",OR(ISNUMBER(M45),N45="Completed")),1,0)</f>
        <v>1</v>
      </c>
      <c r="AD45" s="14" t="n">
        <f aca="false">IF(AND(AC45=1,V45=1,ISNUMBER(M45)),M45-L45,"")</f>
        <v>-2</v>
      </c>
      <c r="AE45" s="14" t="str">
        <f aca="false">IF(AD45="","",IF(AD45&lt;0,"Early",IF(AD45=0,"On Time","Late")))</f>
        <v>Early</v>
      </c>
      <c r="AF45" s="14" t="n">
        <f aca="false">IF(AND(T45=1,ISNUMBER(J45),N45&lt;&gt;"Cancelled"),J45-B45,"")</f>
        <v>11</v>
      </c>
      <c r="AG45" s="14" t="n">
        <f aca="false">IF(AND(AF45&lt;&gt;"",Z45&lt;&gt;""),K45-J45,"")</f>
        <v>2</v>
      </c>
      <c r="AH45" s="14" t="n">
        <f aca="false">IF(AND(Z45&lt;&gt;"",AD45&lt;&gt;""),M45-K45,"")</f>
        <v>2</v>
      </c>
      <c r="AI45" s="14" t="n">
        <f aca="false">IF(Z45&lt;&gt;"",K45-B45,"")</f>
        <v>13</v>
      </c>
      <c r="AJ45" s="14" t="n">
        <f aca="false">IF(AND(N45="Completed",AD45&lt;&gt;""),M45-B45,"")</f>
        <v>15</v>
      </c>
      <c r="AK45" s="14" t="str">
        <f aca="false">IF(N45="Cancelled","Cancelled",IF(N45="Completed","Completed",IF(Y45=1,"Awaiting Installation",IF(ISNUMBER(J45),"In Transit","In Production"))))</f>
        <v>Completed</v>
      </c>
      <c r="AL45" s="18" t="n">
        <f aca="false">IF(AND(N45="Pending",OR(AND(Y45=0,I45&lt;AsOf),AND(Y45=1,L45&lt;AsOf))),1,0)</f>
        <v>0</v>
      </c>
      <c r="AM45" s="14" t="str">
        <f aca="false">IF(AL45=1,IF(Y45=0,AsOf-I45,AsOf-L45),"")</f>
        <v/>
      </c>
      <c r="AN45" s="14" t="str">
        <f aca="false">IF(AL45=1,IF(Y45=0,"Delivery","Installation"),"")</f>
        <v/>
      </c>
      <c r="AO45" s="14" t="n">
        <f aca="false">IF(AND(OR(fCat="All",F45=fCat),OR(fCust="All",D45=fCust),OR(fReg="All",E45=fReg)),1,0)</f>
        <v>1</v>
      </c>
      <c r="AP45" s="14" t="n">
        <f aca="false">IF(AND(AL45=1,AO45=1),AM45+ROW()/100000,0)</f>
        <v>0</v>
      </c>
    </row>
    <row r="46" customFormat="false" ht="15" hidden="false" customHeight="false" outlineLevel="0" collapsed="false">
      <c r="A46" s="14" t="s">
        <v>301</v>
      </c>
      <c r="B46" s="15" t="n">
        <v>46096</v>
      </c>
      <c r="C46" s="14" t="s">
        <v>302</v>
      </c>
      <c r="D46" s="14" t="s">
        <v>149</v>
      </c>
      <c r="E46" s="14" t="s">
        <v>102</v>
      </c>
      <c r="F46" s="14" t="s">
        <v>150</v>
      </c>
      <c r="G46" s="14" t="n">
        <v>1</v>
      </c>
      <c r="H46" s="16" t="n">
        <v>499000</v>
      </c>
      <c r="I46" s="15" t="n">
        <v>46112</v>
      </c>
      <c r="J46" s="15" t="n">
        <v>46104</v>
      </c>
      <c r="K46" s="15" t="n">
        <v>46107</v>
      </c>
      <c r="L46" s="15" t="n">
        <v>46115</v>
      </c>
      <c r="M46" s="15" t="n">
        <v>46108</v>
      </c>
      <c r="N46" s="14" t="s">
        <v>75</v>
      </c>
      <c r="O46" s="14"/>
      <c r="P46" s="14"/>
      <c r="Q46" s="14"/>
      <c r="R46" s="14"/>
      <c r="S46" s="14" t="s">
        <v>745</v>
      </c>
      <c r="T46" s="14" t="n">
        <v>1</v>
      </c>
      <c r="U46" s="14" t="n">
        <v>1</v>
      </c>
      <c r="V46" s="14" t="n">
        <v>1</v>
      </c>
      <c r="W46" s="17" t="n">
        <f aca="false">DATE(YEAR(B46),MONTH(B46),1)</f>
        <v>46082</v>
      </c>
      <c r="X46" s="14" t="n">
        <f aca="false">IF(AND(N46&lt;&gt;"Cancelled",I46&lt;=AsOf),1,0)</f>
        <v>1</v>
      </c>
      <c r="Y46" s="14" t="n">
        <f aca="false">IF(AND(N46&lt;&gt;"Cancelled",OR(ISNUMBER(K46),N46="Completed")),1,0)</f>
        <v>1</v>
      </c>
      <c r="Z46" s="14" t="n">
        <f aca="false">IF(AND(Y46=1,U46=1,ISNUMBER(K46)),K46-I46,"")</f>
        <v>-5</v>
      </c>
      <c r="AA46" s="14" t="str">
        <f aca="false">IF(Z46="","",IF(Z46&lt;0,"Early",IF(Z46=0,"On Time","Late")))</f>
        <v>Early</v>
      </c>
      <c r="AB46" s="14" t="n">
        <f aca="false">IF(AND(N46&lt;&gt;"Cancelled",L46&lt;=AsOf),1,0)</f>
        <v>1</v>
      </c>
      <c r="AC46" s="14" t="n">
        <f aca="false">IF(AND(N46&lt;&gt;"Cancelled",OR(ISNUMBER(M46),N46="Completed")),1,0)</f>
        <v>1</v>
      </c>
      <c r="AD46" s="14" t="n">
        <f aca="false">IF(AND(AC46=1,V46=1,ISNUMBER(M46)),M46-L46,"")</f>
        <v>-7</v>
      </c>
      <c r="AE46" s="14" t="str">
        <f aca="false">IF(AD46="","",IF(AD46&lt;0,"Early",IF(AD46=0,"On Time","Late")))</f>
        <v>Early</v>
      </c>
      <c r="AF46" s="14" t="n">
        <f aca="false">IF(AND(T46=1,ISNUMBER(J46),N46&lt;&gt;"Cancelled"),J46-B46,"")</f>
        <v>8</v>
      </c>
      <c r="AG46" s="14" t="n">
        <f aca="false">IF(AND(AF46&lt;&gt;"",Z46&lt;&gt;""),K46-J46,"")</f>
        <v>3</v>
      </c>
      <c r="AH46" s="14" t="n">
        <f aca="false">IF(AND(Z46&lt;&gt;"",AD46&lt;&gt;""),M46-K46,"")</f>
        <v>1</v>
      </c>
      <c r="AI46" s="14" t="n">
        <f aca="false">IF(Z46&lt;&gt;"",K46-B46,"")</f>
        <v>11</v>
      </c>
      <c r="AJ46" s="14" t="n">
        <f aca="false">IF(AND(N46="Completed",AD46&lt;&gt;""),M46-B46,"")</f>
        <v>12</v>
      </c>
      <c r="AK46" s="14" t="str">
        <f aca="false">IF(N46="Cancelled","Cancelled",IF(N46="Completed","Completed",IF(Y46=1,"Awaiting Installation",IF(ISNUMBER(J46),"In Transit","In Production"))))</f>
        <v>Completed</v>
      </c>
      <c r="AL46" s="18" t="n">
        <f aca="false">IF(AND(N46="Pending",OR(AND(Y46=0,I46&lt;AsOf),AND(Y46=1,L46&lt;AsOf))),1,0)</f>
        <v>0</v>
      </c>
      <c r="AM46" s="14" t="str">
        <f aca="false">IF(AL46=1,IF(Y46=0,AsOf-I46,AsOf-L46),"")</f>
        <v/>
      </c>
      <c r="AN46" s="14" t="str">
        <f aca="false">IF(AL46=1,IF(Y46=0,"Delivery","Installation"),"")</f>
        <v/>
      </c>
      <c r="AO46" s="14" t="n">
        <f aca="false">IF(AND(OR(fCat="All",F46=fCat),OR(fCust="All",D46=fCust),OR(fReg="All",E46=fReg)),1,0)</f>
        <v>1</v>
      </c>
      <c r="AP46" s="14" t="n">
        <f aca="false">IF(AND(AL46=1,AO46=1),AM46+ROW()/100000,0)</f>
        <v>0</v>
      </c>
    </row>
    <row r="47" customFormat="false" ht="15" hidden="false" customHeight="false" outlineLevel="0" collapsed="false">
      <c r="A47" s="14" t="s">
        <v>306</v>
      </c>
      <c r="B47" s="15" t="n">
        <v>46098</v>
      </c>
      <c r="C47" s="14" t="s">
        <v>307</v>
      </c>
      <c r="D47" s="14" t="s">
        <v>149</v>
      </c>
      <c r="E47" s="14" t="s">
        <v>91</v>
      </c>
      <c r="F47" s="14" t="s">
        <v>160</v>
      </c>
      <c r="G47" s="14" t="n">
        <v>1</v>
      </c>
      <c r="H47" s="16" t="n">
        <v>197000</v>
      </c>
      <c r="I47" s="15" t="n">
        <v>46108</v>
      </c>
      <c r="J47" s="15" t="n">
        <v>46106</v>
      </c>
      <c r="K47" s="15" t="n">
        <v>46107</v>
      </c>
      <c r="L47" s="15" t="n">
        <v>46111</v>
      </c>
      <c r="M47" s="15" t="n">
        <v>46198</v>
      </c>
      <c r="N47" s="14" t="s">
        <v>75</v>
      </c>
      <c r="O47" s="14"/>
      <c r="P47" s="14" t="s">
        <v>183</v>
      </c>
      <c r="Q47" s="14"/>
      <c r="R47" s="14" t="s">
        <v>98</v>
      </c>
      <c r="S47" s="14" t="s">
        <v>745</v>
      </c>
      <c r="T47" s="14" t="n">
        <v>1</v>
      </c>
      <c r="U47" s="14" t="n">
        <v>1</v>
      </c>
      <c r="V47" s="14" t="n">
        <v>1</v>
      </c>
      <c r="W47" s="17" t="n">
        <f aca="false">DATE(YEAR(B47),MONTH(B47),1)</f>
        <v>46082</v>
      </c>
      <c r="X47" s="14" t="n">
        <f aca="false">IF(AND(N47&lt;&gt;"Cancelled",I47&lt;=AsOf),1,0)</f>
        <v>1</v>
      </c>
      <c r="Y47" s="14" t="n">
        <f aca="false">IF(AND(N47&lt;&gt;"Cancelled",OR(ISNUMBER(K47),N47="Completed")),1,0)</f>
        <v>1</v>
      </c>
      <c r="Z47" s="14" t="n">
        <f aca="false">IF(AND(Y47=1,U47=1,ISNUMBER(K47)),K47-I47,"")</f>
        <v>-1</v>
      </c>
      <c r="AA47" s="14" t="str">
        <f aca="false">IF(Z47="","",IF(Z47&lt;0,"Early",IF(Z47=0,"On Time","Late")))</f>
        <v>Early</v>
      </c>
      <c r="AB47" s="14" t="n">
        <f aca="false">IF(AND(N47&lt;&gt;"Cancelled",L47&lt;=AsOf),1,0)</f>
        <v>1</v>
      </c>
      <c r="AC47" s="14" t="n">
        <f aca="false">IF(AND(N47&lt;&gt;"Cancelled",OR(ISNUMBER(M47),N47="Completed")),1,0)</f>
        <v>1</v>
      </c>
      <c r="AD47" s="14" t="n">
        <f aca="false">IF(AND(AC47=1,V47=1,ISNUMBER(M47)),M47-L47,"")</f>
        <v>87</v>
      </c>
      <c r="AE47" s="14" t="str">
        <f aca="false">IF(AD47="","",IF(AD47&lt;0,"Early",IF(AD47=0,"On Time","Late")))</f>
        <v>Late</v>
      </c>
      <c r="AF47" s="14" t="n">
        <f aca="false">IF(AND(T47=1,ISNUMBER(J47),N47&lt;&gt;"Cancelled"),J47-B47,"")</f>
        <v>8</v>
      </c>
      <c r="AG47" s="14" t="n">
        <f aca="false">IF(AND(AF47&lt;&gt;"",Z47&lt;&gt;""),K47-J47,"")</f>
        <v>1</v>
      </c>
      <c r="AH47" s="14" t="n">
        <f aca="false">IF(AND(Z47&lt;&gt;"",AD47&lt;&gt;""),M47-K47,"")</f>
        <v>91</v>
      </c>
      <c r="AI47" s="14" t="n">
        <f aca="false">IF(Z47&lt;&gt;"",K47-B47,"")</f>
        <v>9</v>
      </c>
      <c r="AJ47" s="14" t="n">
        <f aca="false">IF(AND(N47="Completed",AD47&lt;&gt;""),M47-B47,"")</f>
        <v>100</v>
      </c>
      <c r="AK47" s="14" t="str">
        <f aca="false">IF(N47="Cancelled","Cancelled",IF(N47="Completed","Completed",IF(Y47=1,"Awaiting Installation",IF(ISNUMBER(J47),"In Transit","In Production"))))</f>
        <v>Completed</v>
      </c>
      <c r="AL47" s="18" t="n">
        <f aca="false">IF(AND(N47="Pending",OR(AND(Y47=0,I47&lt;AsOf),AND(Y47=1,L47&lt;AsOf))),1,0)</f>
        <v>0</v>
      </c>
      <c r="AM47" s="14" t="str">
        <f aca="false">IF(AL47=1,IF(Y47=0,AsOf-I47,AsOf-L47),"")</f>
        <v/>
      </c>
      <c r="AN47" s="14" t="str">
        <f aca="false">IF(AL47=1,IF(Y47=0,"Delivery","Installation"),"")</f>
        <v/>
      </c>
      <c r="AO47" s="14" t="n">
        <f aca="false">IF(AND(OR(fCat="All",F47=fCat),OR(fCust="All",D47=fCust),OR(fReg="All",E47=fReg)),1,0)</f>
        <v>1</v>
      </c>
      <c r="AP47" s="14" t="n">
        <f aca="false">IF(AND(AL47=1,AO47=1),AM47+ROW()/100000,0)</f>
        <v>0</v>
      </c>
    </row>
    <row r="48" customFormat="false" ht="15" hidden="false" customHeight="false" outlineLevel="0" collapsed="false">
      <c r="A48" s="14" t="s">
        <v>311</v>
      </c>
      <c r="B48" s="15" t="n">
        <v>46099</v>
      </c>
      <c r="C48" s="14" t="s">
        <v>312</v>
      </c>
      <c r="D48" s="14" t="s">
        <v>90</v>
      </c>
      <c r="E48" s="14" t="s">
        <v>91</v>
      </c>
      <c r="F48" s="14" t="s">
        <v>150</v>
      </c>
      <c r="G48" s="14" t="n">
        <v>1</v>
      </c>
      <c r="H48" s="16" t="n">
        <v>517000</v>
      </c>
      <c r="I48" s="15" t="n">
        <v>46113</v>
      </c>
      <c r="J48" s="15" t="n">
        <v>46106</v>
      </c>
      <c r="K48" s="15" t="n">
        <v>46108</v>
      </c>
      <c r="L48" s="15" t="n">
        <v>46116</v>
      </c>
      <c r="M48" s="15" t="n">
        <v>46109</v>
      </c>
      <c r="N48" s="14" t="s">
        <v>75</v>
      </c>
      <c r="O48" s="14"/>
      <c r="P48" s="14"/>
      <c r="Q48" s="14"/>
      <c r="R48" s="14" t="s">
        <v>134</v>
      </c>
      <c r="S48" s="14" t="s">
        <v>745</v>
      </c>
      <c r="T48" s="14" t="n">
        <v>1</v>
      </c>
      <c r="U48" s="14" t="n">
        <v>1</v>
      </c>
      <c r="V48" s="14" t="n">
        <v>1</v>
      </c>
      <c r="W48" s="17" t="n">
        <f aca="false">DATE(YEAR(B48),MONTH(B48),1)</f>
        <v>46082</v>
      </c>
      <c r="X48" s="14" t="n">
        <f aca="false">IF(AND(N48&lt;&gt;"Cancelled",I48&lt;=AsOf),1,0)</f>
        <v>1</v>
      </c>
      <c r="Y48" s="14" t="n">
        <f aca="false">IF(AND(N48&lt;&gt;"Cancelled",OR(ISNUMBER(K48),N48="Completed")),1,0)</f>
        <v>1</v>
      </c>
      <c r="Z48" s="14" t="n">
        <f aca="false">IF(AND(Y48=1,U48=1,ISNUMBER(K48)),K48-I48,"")</f>
        <v>-5</v>
      </c>
      <c r="AA48" s="14" t="str">
        <f aca="false">IF(Z48="","",IF(Z48&lt;0,"Early",IF(Z48=0,"On Time","Late")))</f>
        <v>Early</v>
      </c>
      <c r="AB48" s="14" t="n">
        <f aca="false">IF(AND(N48&lt;&gt;"Cancelled",L48&lt;=AsOf),1,0)</f>
        <v>1</v>
      </c>
      <c r="AC48" s="14" t="n">
        <f aca="false">IF(AND(N48&lt;&gt;"Cancelled",OR(ISNUMBER(M48),N48="Completed")),1,0)</f>
        <v>1</v>
      </c>
      <c r="AD48" s="14" t="n">
        <f aca="false">IF(AND(AC48=1,V48=1,ISNUMBER(M48)),M48-L48,"")</f>
        <v>-7</v>
      </c>
      <c r="AE48" s="14" t="str">
        <f aca="false">IF(AD48="","",IF(AD48&lt;0,"Early",IF(AD48=0,"On Time","Late")))</f>
        <v>Early</v>
      </c>
      <c r="AF48" s="14" t="n">
        <f aca="false">IF(AND(T48=1,ISNUMBER(J48),N48&lt;&gt;"Cancelled"),J48-B48,"")</f>
        <v>7</v>
      </c>
      <c r="AG48" s="14" t="n">
        <f aca="false">IF(AND(AF48&lt;&gt;"",Z48&lt;&gt;""),K48-J48,"")</f>
        <v>2</v>
      </c>
      <c r="AH48" s="14" t="n">
        <f aca="false">IF(AND(Z48&lt;&gt;"",AD48&lt;&gt;""),M48-K48,"")</f>
        <v>1</v>
      </c>
      <c r="AI48" s="14" t="n">
        <f aca="false">IF(Z48&lt;&gt;"",K48-B48,"")</f>
        <v>9</v>
      </c>
      <c r="AJ48" s="14" t="n">
        <f aca="false">IF(AND(N48="Completed",AD48&lt;&gt;""),M48-B48,"")</f>
        <v>10</v>
      </c>
      <c r="AK48" s="14" t="str">
        <f aca="false">IF(N48="Cancelled","Cancelled",IF(N48="Completed","Completed",IF(Y48=1,"Awaiting Installation",IF(ISNUMBER(J48),"In Transit","In Production"))))</f>
        <v>Completed</v>
      </c>
      <c r="AL48" s="18" t="n">
        <f aca="false">IF(AND(N48="Pending",OR(AND(Y48=0,I48&lt;AsOf),AND(Y48=1,L48&lt;AsOf))),1,0)</f>
        <v>0</v>
      </c>
      <c r="AM48" s="14" t="str">
        <f aca="false">IF(AL48=1,IF(Y48=0,AsOf-I48,AsOf-L48),"")</f>
        <v/>
      </c>
      <c r="AN48" s="14" t="str">
        <f aca="false">IF(AL48=1,IF(Y48=0,"Delivery","Installation"),"")</f>
        <v/>
      </c>
      <c r="AO48" s="14" t="n">
        <f aca="false">IF(AND(OR(fCat="All",F48=fCat),OR(fCust="All",D48=fCust),OR(fReg="All",E48=fReg)),1,0)</f>
        <v>1</v>
      </c>
      <c r="AP48" s="14" t="n">
        <f aca="false">IF(AND(AL48=1,AO48=1),AM48+ROW()/100000,0)</f>
        <v>0</v>
      </c>
    </row>
    <row r="49" customFormat="false" ht="15" hidden="false" customHeight="false" outlineLevel="0" collapsed="false">
      <c r="A49" s="14" t="s">
        <v>315</v>
      </c>
      <c r="B49" s="15" t="n">
        <v>46099</v>
      </c>
      <c r="C49" s="14" t="s">
        <v>316</v>
      </c>
      <c r="D49" s="14" t="s">
        <v>90</v>
      </c>
      <c r="E49" s="14" t="s">
        <v>102</v>
      </c>
      <c r="F49" s="14" t="s">
        <v>150</v>
      </c>
      <c r="G49" s="14" t="n">
        <v>1</v>
      </c>
      <c r="H49" s="16" t="n">
        <v>469000</v>
      </c>
      <c r="I49" s="15" t="n">
        <v>46115</v>
      </c>
      <c r="J49" s="15" t="n">
        <v>46109</v>
      </c>
      <c r="K49" s="15" t="n">
        <v>46111</v>
      </c>
      <c r="L49" s="15" t="n">
        <v>46118</v>
      </c>
      <c r="M49" s="15" t="n">
        <v>46112</v>
      </c>
      <c r="N49" s="14" t="s">
        <v>75</v>
      </c>
      <c r="O49" s="14"/>
      <c r="P49" s="14"/>
      <c r="Q49" s="14"/>
      <c r="R49" s="14" t="s">
        <v>226</v>
      </c>
      <c r="S49" s="14" t="s">
        <v>745</v>
      </c>
      <c r="T49" s="14" t="n">
        <v>1</v>
      </c>
      <c r="U49" s="14" t="n">
        <v>1</v>
      </c>
      <c r="V49" s="14" t="n">
        <v>1</v>
      </c>
      <c r="W49" s="17" t="n">
        <f aca="false">DATE(YEAR(B49),MONTH(B49),1)</f>
        <v>46082</v>
      </c>
      <c r="X49" s="14" t="n">
        <f aca="false">IF(AND(N49&lt;&gt;"Cancelled",I49&lt;=AsOf),1,0)</f>
        <v>1</v>
      </c>
      <c r="Y49" s="14" t="n">
        <f aca="false">IF(AND(N49&lt;&gt;"Cancelled",OR(ISNUMBER(K49),N49="Completed")),1,0)</f>
        <v>1</v>
      </c>
      <c r="Z49" s="14" t="n">
        <f aca="false">IF(AND(Y49=1,U49=1,ISNUMBER(K49)),K49-I49,"")</f>
        <v>-4</v>
      </c>
      <c r="AA49" s="14" t="str">
        <f aca="false">IF(Z49="","",IF(Z49&lt;0,"Early",IF(Z49=0,"On Time","Late")))</f>
        <v>Early</v>
      </c>
      <c r="AB49" s="14" t="n">
        <f aca="false">IF(AND(N49&lt;&gt;"Cancelled",L49&lt;=AsOf),1,0)</f>
        <v>1</v>
      </c>
      <c r="AC49" s="14" t="n">
        <f aca="false">IF(AND(N49&lt;&gt;"Cancelled",OR(ISNUMBER(M49),N49="Completed")),1,0)</f>
        <v>1</v>
      </c>
      <c r="AD49" s="14" t="n">
        <f aca="false">IF(AND(AC49=1,V49=1,ISNUMBER(M49)),M49-L49,"")</f>
        <v>-6</v>
      </c>
      <c r="AE49" s="14" t="str">
        <f aca="false">IF(AD49="","",IF(AD49&lt;0,"Early",IF(AD49=0,"On Time","Late")))</f>
        <v>Early</v>
      </c>
      <c r="AF49" s="14" t="n">
        <f aca="false">IF(AND(T49=1,ISNUMBER(J49),N49&lt;&gt;"Cancelled"),J49-B49,"")</f>
        <v>10</v>
      </c>
      <c r="AG49" s="14" t="n">
        <f aca="false">IF(AND(AF49&lt;&gt;"",Z49&lt;&gt;""),K49-J49,"")</f>
        <v>2</v>
      </c>
      <c r="AH49" s="14" t="n">
        <f aca="false">IF(AND(Z49&lt;&gt;"",AD49&lt;&gt;""),M49-K49,"")</f>
        <v>1</v>
      </c>
      <c r="AI49" s="14" t="n">
        <f aca="false">IF(Z49&lt;&gt;"",K49-B49,"")</f>
        <v>12</v>
      </c>
      <c r="AJ49" s="14" t="n">
        <f aca="false">IF(AND(N49="Completed",AD49&lt;&gt;""),M49-B49,"")</f>
        <v>13</v>
      </c>
      <c r="AK49" s="14" t="str">
        <f aca="false">IF(N49="Cancelled","Cancelled",IF(N49="Completed","Completed",IF(Y49=1,"Awaiting Installation",IF(ISNUMBER(J49),"In Transit","In Production"))))</f>
        <v>Completed</v>
      </c>
      <c r="AL49" s="18" t="n">
        <f aca="false">IF(AND(N49="Pending",OR(AND(Y49=0,I49&lt;AsOf),AND(Y49=1,L49&lt;AsOf))),1,0)</f>
        <v>0</v>
      </c>
      <c r="AM49" s="14" t="str">
        <f aca="false">IF(AL49=1,IF(Y49=0,AsOf-I49,AsOf-L49),"")</f>
        <v/>
      </c>
      <c r="AN49" s="14" t="str">
        <f aca="false">IF(AL49=1,IF(Y49=0,"Delivery","Installation"),"")</f>
        <v/>
      </c>
      <c r="AO49" s="14" t="n">
        <f aca="false">IF(AND(OR(fCat="All",F49=fCat),OR(fCust="All",D49=fCust),OR(fReg="All",E49=fReg)),1,0)</f>
        <v>1</v>
      </c>
      <c r="AP49" s="14" t="n">
        <f aca="false">IF(AND(AL49=1,AO49=1),AM49+ROW()/100000,0)</f>
        <v>0</v>
      </c>
    </row>
    <row r="50" customFormat="false" ht="15" hidden="false" customHeight="false" outlineLevel="0" collapsed="false">
      <c r="A50" s="14" t="s">
        <v>319</v>
      </c>
      <c r="B50" s="15" t="n">
        <v>46100</v>
      </c>
      <c r="C50" s="14" t="s">
        <v>320</v>
      </c>
      <c r="D50" s="14" t="s">
        <v>149</v>
      </c>
      <c r="E50" s="14" t="s">
        <v>91</v>
      </c>
      <c r="F50" s="14" t="s">
        <v>160</v>
      </c>
      <c r="G50" s="14" t="n">
        <v>1</v>
      </c>
      <c r="H50" s="16" t="n">
        <v>198000</v>
      </c>
      <c r="I50" s="15" t="n">
        <v>46110</v>
      </c>
      <c r="J50" s="15" t="n">
        <v>46104</v>
      </c>
      <c r="K50" s="15" t="n">
        <v>46106</v>
      </c>
      <c r="L50" s="15" t="n">
        <v>46113</v>
      </c>
      <c r="M50" s="15" t="n">
        <v>46108</v>
      </c>
      <c r="N50" s="14" t="s">
        <v>75</v>
      </c>
      <c r="O50" s="14"/>
      <c r="P50" s="14"/>
      <c r="Q50" s="14"/>
      <c r="R50" s="14" t="s">
        <v>134</v>
      </c>
      <c r="S50" s="14" t="s">
        <v>745</v>
      </c>
      <c r="T50" s="14" t="n">
        <v>1</v>
      </c>
      <c r="U50" s="14" t="n">
        <v>1</v>
      </c>
      <c r="V50" s="14" t="n">
        <v>1</v>
      </c>
      <c r="W50" s="17" t="n">
        <f aca="false">DATE(YEAR(B50),MONTH(B50),1)</f>
        <v>46082</v>
      </c>
      <c r="X50" s="14" t="n">
        <f aca="false">IF(AND(N50&lt;&gt;"Cancelled",I50&lt;=AsOf),1,0)</f>
        <v>1</v>
      </c>
      <c r="Y50" s="14" t="n">
        <f aca="false">IF(AND(N50&lt;&gt;"Cancelled",OR(ISNUMBER(K50),N50="Completed")),1,0)</f>
        <v>1</v>
      </c>
      <c r="Z50" s="14" t="n">
        <f aca="false">IF(AND(Y50=1,U50=1,ISNUMBER(K50)),K50-I50,"")</f>
        <v>-4</v>
      </c>
      <c r="AA50" s="14" t="str">
        <f aca="false">IF(Z50="","",IF(Z50&lt;0,"Early",IF(Z50=0,"On Time","Late")))</f>
        <v>Early</v>
      </c>
      <c r="AB50" s="14" t="n">
        <f aca="false">IF(AND(N50&lt;&gt;"Cancelled",L50&lt;=AsOf),1,0)</f>
        <v>1</v>
      </c>
      <c r="AC50" s="14" t="n">
        <f aca="false">IF(AND(N50&lt;&gt;"Cancelled",OR(ISNUMBER(M50),N50="Completed")),1,0)</f>
        <v>1</v>
      </c>
      <c r="AD50" s="14" t="n">
        <f aca="false">IF(AND(AC50=1,V50=1,ISNUMBER(M50)),M50-L50,"")</f>
        <v>-5</v>
      </c>
      <c r="AE50" s="14" t="str">
        <f aca="false">IF(AD50="","",IF(AD50&lt;0,"Early",IF(AD50=0,"On Time","Late")))</f>
        <v>Early</v>
      </c>
      <c r="AF50" s="14" t="n">
        <f aca="false">IF(AND(T50=1,ISNUMBER(J50),N50&lt;&gt;"Cancelled"),J50-B50,"")</f>
        <v>4</v>
      </c>
      <c r="AG50" s="14" t="n">
        <f aca="false">IF(AND(AF50&lt;&gt;"",Z50&lt;&gt;""),K50-J50,"")</f>
        <v>2</v>
      </c>
      <c r="AH50" s="14" t="n">
        <f aca="false">IF(AND(Z50&lt;&gt;"",AD50&lt;&gt;""),M50-K50,"")</f>
        <v>2</v>
      </c>
      <c r="AI50" s="14" t="n">
        <f aca="false">IF(Z50&lt;&gt;"",K50-B50,"")</f>
        <v>6</v>
      </c>
      <c r="AJ50" s="14" t="n">
        <f aca="false">IF(AND(N50="Completed",AD50&lt;&gt;""),M50-B50,"")</f>
        <v>8</v>
      </c>
      <c r="AK50" s="14" t="str">
        <f aca="false">IF(N50="Cancelled","Cancelled",IF(N50="Completed","Completed",IF(Y50=1,"Awaiting Installation",IF(ISNUMBER(J50),"In Transit","In Production"))))</f>
        <v>Completed</v>
      </c>
      <c r="AL50" s="18" t="n">
        <f aca="false">IF(AND(N50="Pending",OR(AND(Y50=0,I50&lt;AsOf),AND(Y50=1,L50&lt;AsOf))),1,0)</f>
        <v>0</v>
      </c>
      <c r="AM50" s="14" t="str">
        <f aca="false">IF(AL50=1,IF(Y50=0,AsOf-I50,AsOf-L50),"")</f>
        <v/>
      </c>
      <c r="AN50" s="14" t="str">
        <f aca="false">IF(AL50=1,IF(Y50=0,"Delivery","Installation"),"")</f>
        <v/>
      </c>
      <c r="AO50" s="14" t="n">
        <f aca="false">IF(AND(OR(fCat="All",F50=fCat),OR(fCust="All",D50=fCust),OR(fReg="All",E50=fReg)),1,0)</f>
        <v>1</v>
      </c>
      <c r="AP50" s="14" t="n">
        <f aca="false">IF(AND(AL50=1,AO50=1),AM50+ROW()/100000,0)</f>
        <v>0</v>
      </c>
    </row>
    <row r="51" customFormat="false" ht="15" hidden="false" customHeight="false" outlineLevel="0" collapsed="false">
      <c r="A51" s="14" t="s">
        <v>322</v>
      </c>
      <c r="B51" s="15" t="n">
        <v>46100</v>
      </c>
      <c r="C51" s="14" t="s">
        <v>222</v>
      </c>
      <c r="D51" s="14" t="s">
        <v>65</v>
      </c>
      <c r="E51" s="14" t="s">
        <v>66</v>
      </c>
      <c r="F51" s="14" t="s">
        <v>121</v>
      </c>
      <c r="G51" s="14" t="n">
        <v>1</v>
      </c>
      <c r="H51" s="16" t="n">
        <v>503000</v>
      </c>
      <c r="I51" s="15" t="n">
        <v>46134</v>
      </c>
      <c r="J51" s="15" t="n">
        <v>46129</v>
      </c>
      <c r="K51" s="15" t="n">
        <v>46144</v>
      </c>
      <c r="L51" s="15" t="n">
        <v>46139</v>
      </c>
      <c r="M51" s="15"/>
      <c r="N51" s="14" t="s">
        <v>328</v>
      </c>
      <c r="O51" s="14" t="s">
        <v>329</v>
      </c>
      <c r="P51" s="14"/>
      <c r="Q51" s="14"/>
      <c r="R51" s="14"/>
      <c r="S51" s="14" t="s">
        <v>745</v>
      </c>
      <c r="T51" s="14" t="n">
        <v>1</v>
      </c>
      <c r="U51" s="14" t="n">
        <v>1</v>
      </c>
      <c r="V51" s="14" t="n">
        <v>1</v>
      </c>
      <c r="W51" s="17" t="n">
        <f aca="false">DATE(YEAR(B51),MONTH(B51),1)</f>
        <v>46082</v>
      </c>
      <c r="X51" s="14" t="n">
        <f aca="false">IF(AND(N51&lt;&gt;"Cancelled",I51&lt;=AsOf),1,0)</f>
        <v>1</v>
      </c>
      <c r="Y51" s="14" t="n">
        <f aca="false">IF(AND(N51&lt;&gt;"Cancelled",OR(ISNUMBER(K51),N51="Completed")),1,0)</f>
        <v>1</v>
      </c>
      <c r="Z51" s="14" t="n">
        <f aca="false">IF(AND(Y51=1,U51=1,ISNUMBER(K51)),K51-I51,"")</f>
        <v>10</v>
      </c>
      <c r="AA51" s="14" t="str">
        <f aca="false">IF(Z51="","",IF(Z51&lt;0,"Early",IF(Z51=0,"On Time","Late")))</f>
        <v>Late</v>
      </c>
      <c r="AB51" s="14" t="n">
        <f aca="false">IF(AND(N51&lt;&gt;"Cancelled",L51&lt;=AsOf),1,0)</f>
        <v>1</v>
      </c>
      <c r="AC51" s="14" t="n">
        <f aca="false">IF(AND(N51&lt;&gt;"Cancelled",OR(ISNUMBER(M51),N51="Completed")),1,0)</f>
        <v>0</v>
      </c>
      <c r="AD51" s="14" t="str">
        <f aca="false">IF(AND(AC51=1,V51=1,ISNUMBER(M51)),M51-L51,"")</f>
        <v/>
      </c>
      <c r="AE51" s="14" t="str">
        <f aca="false">IF(AD51="","",IF(AD51&lt;0,"Early",IF(AD51=0,"On Time","Late")))</f>
        <v/>
      </c>
      <c r="AF51" s="14" t="n">
        <f aca="false">IF(AND(T51=1,ISNUMBER(J51),N51&lt;&gt;"Cancelled"),J51-B51,"")</f>
        <v>29</v>
      </c>
      <c r="AG51" s="14" t="n">
        <f aca="false">IF(AND(AF51&lt;&gt;"",Z51&lt;&gt;""),K51-J51,"")</f>
        <v>15</v>
      </c>
      <c r="AH51" s="14" t="str">
        <f aca="false">IF(AND(Z51&lt;&gt;"",AD51&lt;&gt;""),M51-K51,"")</f>
        <v/>
      </c>
      <c r="AI51" s="14" t="n">
        <f aca="false">IF(Z51&lt;&gt;"",K51-B51,"")</f>
        <v>44</v>
      </c>
      <c r="AJ51" s="14" t="str">
        <f aca="false">IF(AND(N51="Completed",AD51&lt;&gt;""),M51-B51,"")</f>
        <v/>
      </c>
      <c r="AK51" s="14" t="str">
        <f aca="false">IF(N51="Cancelled","Cancelled",IF(N51="Completed","Completed",IF(Y51=1,"Awaiting Installation",IF(ISNUMBER(J51),"In Transit","In Production"))))</f>
        <v>Awaiting Installation</v>
      </c>
      <c r="AL51" s="18" t="n">
        <f aca="false">IF(AND(N51="Pending",OR(AND(Y51=0,I51&lt;AsOf),AND(Y51=1,L51&lt;AsOf))),1,0)</f>
        <v>1</v>
      </c>
      <c r="AM51" s="14" t="n">
        <f aca="false">IF(AL51=1,IF(Y51=0,AsOf-I51,AsOf-L51),"")</f>
        <v>64</v>
      </c>
      <c r="AN51" s="14" t="str">
        <f aca="false">IF(AL51=1,IF(Y51=0,"Delivery","Installation"),"")</f>
        <v>Installation</v>
      </c>
      <c r="AO51" s="14" t="n">
        <f aca="false">IF(AND(OR(fCat="All",F51=fCat),OR(fCust="All",D51=fCust),OR(fReg="All",E51=fReg)),1,0)</f>
        <v>1</v>
      </c>
      <c r="AP51" s="14" t="n">
        <f aca="false">IF(AND(AL51=1,AO51=1),AM51+ROW()/100000,0)</f>
        <v>64.00051</v>
      </c>
    </row>
    <row r="52" customFormat="false" ht="15" hidden="false" customHeight="false" outlineLevel="0" collapsed="false">
      <c r="A52" s="14" t="s">
        <v>330</v>
      </c>
      <c r="B52" s="15" t="n">
        <v>46102</v>
      </c>
      <c r="C52" s="14" t="s">
        <v>331</v>
      </c>
      <c r="D52" s="14" t="s">
        <v>90</v>
      </c>
      <c r="E52" s="14" t="s">
        <v>91</v>
      </c>
      <c r="F52" s="14" t="s">
        <v>150</v>
      </c>
      <c r="G52" s="14" t="n">
        <v>1</v>
      </c>
      <c r="H52" s="16" t="n">
        <v>347000</v>
      </c>
      <c r="I52" s="15" t="n">
        <v>46116</v>
      </c>
      <c r="J52" s="15" t="n">
        <v>46112</v>
      </c>
      <c r="K52" s="15" t="n">
        <v>46114</v>
      </c>
      <c r="L52" s="15" t="n">
        <v>46119</v>
      </c>
      <c r="M52" s="15" t="n">
        <v>46116</v>
      </c>
      <c r="N52" s="14" t="s">
        <v>75</v>
      </c>
      <c r="O52" s="14"/>
      <c r="P52" s="14"/>
      <c r="Q52" s="14"/>
      <c r="R52" s="14" t="s">
        <v>98</v>
      </c>
      <c r="S52" s="14" t="s">
        <v>745</v>
      </c>
      <c r="T52" s="14" t="n">
        <v>1</v>
      </c>
      <c r="U52" s="14" t="n">
        <v>1</v>
      </c>
      <c r="V52" s="14" t="n">
        <v>1</v>
      </c>
      <c r="W52" s="17" t="n">
        <f aca="false">DATE(YEAR(B52),MONTH(B52),1)</f>
        <v>46082</v>
      </c>
      <c r="X52" s="14" t="n">
        <f aca="false">IF(AND(N52&lt;&gt;"Cancelled",I52&lt;=AsOf),1,0)</f>
        <v>1</v>
      </c>
      <c r="Y52" s="14" t="n">
        <f aca="false">IF(AND(N52&lt;&gt;"Cancelled",OR(ISNUMBER(K52),N52="Completed")),1,0)</f>
        <v>1</v>
      </c>
      <c r="Z52" s="14" t="n">
        <f aca="false">IF(AND(Y52=1,U52=1,ISNUMBER(K52)),K52-I52,"")</f>
        <v>-2</v>
      </c>
      <c r="AA52" s="14" t="str">
        <f aca="false">IF(Z52="","",IF(Z52&lt;0,"Early",IF(Z52=0,"On Time","Late")))</f>
        <v>Early</v>
      </c>
      <c r="AB52" s="14" t="n">
        <f aca="false">IF(AND(N52&lt;&gt;"Cancelled",L52&lt;=AsOf),1,0)</f>
        <v>1</v>
      </c>
      <c r="AC52" s="14" t="n">
        <f aca="false">IF(AND(N52&lt;&gt;"Cancelled",OR(ISNUMBER(M52),N52="Completed")),1,0)</f>
        <v>1</v>
      </c>
      <c r="AD52" s="14" t="n">
        <f aca="false">IF(AND(AC52=1,V52=1,ISNUMBER(M52)),M52-L52,"")</f>
        <v>-3</v>
      </c>
      <c r="AE52" s="14" t="str">
        <f aca="false">IF(AD52="","",IF(AD52&lt;0,"Early",IF(AD52=0,"On Time","Late")))</f>
        <v>Early</v>
      </c>
      <c r="AF52" s="14" t="n">
        <f aca="false">IF(AND(T52=1,ISNUMBER(J52),N52&lt;&gt;"Cancelled"),J52-B52,"")</f>
        <v>10</v>
      </c>
      <c r="AG52" s="14" t="n">
        <f aca="false">IF(AND(AF52&lt;&gt;"",Z52&lt;&gt;""),K52-J52,"")</f>
        <v>2</v>
      </c>
      <c r="AH52" s="14" t="n">
        <f aca="false">IF(AND(Z52&lt;&gt;"",AD52&lt;&gt;""),M52-K52,"")</f>
        <v>2</v>
      </c>
      <c r="AI52" s="14" t="n">
        <f aca="false">IF(Z52&lt;&gt;"",K52-B52,"")</f>
        <v>12</v>
      </c>
      <c r="AJ52" s="14" t="n">
        <f aca="false">IF(AND(N52="Completed",AD52&lt;&gt;""),M52-B52,"")</f>
        <v>14</v>
      </c>
      <c r="AK52" s="14" t="str">
        <f aca="false">IF(N52="Cancelled","Cancelled",IF(N52="Completed","Completed",IF(Y52=1,"Awaiting Installation",IF(ISNUMBER(J52),"In Transit","In Production"))))</f>
        <v>Completed</v>
      </c>
      <c r="AL52" s="18" t="n">
        <f aca="false">IF(AND(N52="Pending",OR(AND(Y52=0,I52&lt;AsOf),AND(Y52=1,L52&lt;AsOf))),1,0)</f>
        <v>0</v>
      </c>
      <c r="AM52" s="14" t="str">
        <f aca="false">IF(AL52=1,IF(Y52=0,AsOf-I52,AsOf-L52),"")</f>
        <v/>
      </c>
      <c r="AN52" s="14" t="str">
        <f aca="false">IF(AL52=1,IF(Y52=0,"Delivery","Installation"),"")</f>
        <v/>
      </c>
      <c r="AO52" s="14" t="n">
        <f aca="false">IF(AND(OR(fCat="All",F52=fCat),OR(fCust="All",D52=fCust),OR(fReg="All",E52=fReg)),1,0)</f>
        <v>1</v>
      </c>
      <c r="AP52" s="14" t="n">
        <f aca="false">IF(AND(AL52=1,AO52=1),AM52+ROW()/100000,0)</f>
        <v>0</v>
      </c>
    </row>
    <row r="53" customFormat="false" ht="15" hidden="false" customHeight="false" outlineLevel="0" collapsed="false">
      <c r="A53" s="14" t="s">
        <v>334</v>
      </c>
      <c r="B53" s="15" t="n">
        <v>46106</v>
      </c>
      <c r="C53" s="14" t="s">
        <v>253</v>
      </c>
      <c r="D53" s="14" t="s">
        <v>149</v>
      </c>
      <c r="E53" s="14" t="s">
        <v>91</v>
      </c>
      <c r="F53" s="14" t="s">
        <v>150</v>
      </c>
      <c r="G53" s="14" t="n">
        <v>1</v>
      </c>
      <c r="H53" s="16" t="n">
        <v>439000</v>
      </c>
      <c r="I53" s="15" t="n">
        <v>46120</v>
      </c>
      <c r="J53" s="15" t="n">
        <v>46117</v>
      </c>
      <c r="K53" s="15" t="n">
        <v>46119</v>
      </c>
      <c r="L53" s="15" t="n">
        <v>46123</v>
      </c>
      <c r="M53" s="15" t="n">
        <v>46120</v>
      </c>
      <c r="N53" s="14" t="s">
        <v>75</v>
      </c>
      <c r="O53" s="14"/>
      <c r="P53" s="14"/>
      <c r="Q53" s="14"/>
      <c r="R53" s="14" t="s">
        <v>98</v>
      </c>
      <c r="S53" s="14" t="s">
        <v>745</v>
      </c>
      <c r="T53" s="14" t="n">
        <v>1</v>
      </c>
      <c r="U53" s="14" t="n">
        <v>1</v>
      </c>
      <c r="V53" s="14" t="n">
        <v>1</v>
      </c>
      <c r="W53" s="17" t="n">
        <f aca="false">DATE(YEAR(B53),MONTH(B53),1)</f>
        <v>46082</v>
      </c>
      <c r="X53" s="14" t="n">
        <f aca="false">IF(AND(N53&lt;&gt;"Cancelled",I53&lt;=AsOf),1,0)</f>
        <v>1</v>
      </c>
      <c r="Y53" s="14" t="n">
        <f aca="false">IF(AND(N53&lt;&gt;"Cancelled",OR(ISNUMBER(K53),N53="Completed")),1,0)</f>
        <v>1</v>
      </c>
      <c r="Z53" s="14" t="n">
        <f aca="false">IF(AND(Y53=1,U53=1,ISNUMBER(K53)),K53-I53,"")</f>
        <v>-1</v>
      </c>
      <c r="AA53" s="14" t="str">
        <f aca="false">IF(Z53="","",IF(Z53&lt;0,"Early",IF(Z53=0,"On Time","Late")))</f>
        <v>Early</v>
      </c>
      <c r="AB53" s="14" t="n">
        <f aca="false">IF(AND(N53&lt;&gt;"Cancelled",L53&lt;=AsOf),1,0)</f>
        <v>1</v>
      </c>
      <c r="AC53" s="14" t="n">
        <f aca="false">IF(AND(N53&lt;&gt;"Cancelled",OR(ISNUMBER(M53),N53="Completed")),1,0)</f>
        <v>1</v>
      </c>
      <c r="AD53" s="14" t="n">
        <f aca="false">IF(AND(AC53=1,V53=1,ISNUMBER(M53)),M53-L53,"")</f>
        <v>-3</v>
      </c>
      <c r="AE53" s="14" t="str">
        <f aca="false">IF(AD53="","",IF(AD53&lt;0,"Early",IF(AD53=0,"On Time","Late")))</f>
        <v>Early</v>
      </c>
      <c r="AF53" s="14" t="n">
        <f aca="false">IF(AND(T53=1,ISNUMBER(J53),N53&lt;&gt;"Cancelled"),J53-B53,"")</f>
        <v>11</v>
      </c>
      <c r="AG53" s="14" t="n">
        <f aca="false">IF(AND(AF53&lt;&gt;"",Z53&lt;&gt;""),K53-J53,"")</f>
        <v>2</v>
      </c>
      <c r="AH53" s="14" t="n">
        <f aca="false">IF(AND(Z53&lt;&gt;"",AD53&lt;&gt;""),M53-K53,"")</f>
        <v>1</v>
      </c>
      <c r="AI53" s="14" t="n">
        <f aca="false">IF(Z53&lt;&gt;"",K53-B53,"")</f>
        <v>13</v>
      </c>
      <c r="AJ53" s="14" t="n">
        <f aca="false">IF(AND(N53="Completed",AD53&lt;&gt;""),M53-B53,"")</f>
        <v>14</v>
      </c>
      <c r="AK53" s="14" t="str">
        <f aca="false">IF(N53="Cancelled","Cancelled",IF(N53="Completed","Completed",IF(Y53=1,"Awaiting Installation",IF(ISNUMBER(J53),"In Transit","In Production"))))</f>
        <v>Completed</v>
      </c>
      <c r="AL53" s="18" t="n">
        <f aca="false">IF(AND(N53="Pending",OR(AND(Y53=0,I53&lt;AsOf),AND(Y53=1,L53&lt;AsOf))),1,0)</f>
        <v>0</v>
      </c>
      <c r="AM53" s="14" t="str">
        <f aca="false">IF(AL53=1,IF(Y53=0,AsOf-I53,AsOf-L53),"")</f>
        <v/>
      </c>
      <c r="AN53" s="14" t="str">
        <f aca="false">IF(AL53=1,IF(Y53=0,"Delivery","Installation"),"")</f>
        <v/>
      </c>
      <c r="AO53" s="14" t="n">
        <f aca="false">IF(AND(OR(fCat="All",F53=fCat),OR(fCust="All",D53=fCust),OR(fReg="All",E53=fReg)),1,0)</f>
        <v>1</v>
      </c>
      <c r="AP53" s="14" t="n">
        <f aca="false">IF(AND(AL53=1,AO53=1),AM53+ROW()/100000,0)</f>
        <v>0</v>
      </c>
    </row>
    <row r="54" customFormat="false" ht="15" hidden="false" customHeight="false" outlineLevel="0" collapsed="false">
      <c r="A54" s="14" t="s">
        <v>339</v>
      </c>
      <c r="B54" s="15" t="n">
        <v>46106</v>
      </c>
      <c r="C54" s="14" t="s">
        <v>331</v>
      </c>
      <c r="D54" s="14" t="s">
        <v>65</v>
      </c>
      <c r="E54" s="14" t="s">
        <v>91</v>
      </c>
      <c r="F54" s="14" t="s">
        <v>67</v>
      </c>
      <c r="G54" s="14" t="n">
        <v>1</v>
      </c>
      <c r="H54" s="16" t="n">
        <v>1005000</v>
      </c>
      <c r="I54" s="15" t="n">
        <v>46124</v>
      </c>
      <c r="J54" s="15" t="n">
        <v>46118</v>
      </c>
      <c r="K54" s="15" t="n">
        <v>46119</v>
      </c>
      <c r="L54" s="15" t="n">
        <v>46129</v>
      </c>
      <c r="M54" s="15" t="n">
        <v>46124</v>
      </c>
      <c r="N54" s="14" t="s">
        <v>75</v>
      </c>
      <c r="O54" s="14"/>
      <c r="P54" s="14"/>
      <c r="Q54" s="14"/>
      <c r="R54" s="14" t="s">
        <v>86</v>
      </c>
      <c r="S54" s="14" t="s">
        <v>745</v>
      </c>
      <c r="T54" s="14" t="n">
        <v>1</v>
      </c>
      <c r="U54" s="14" t="n">
        <v>1</v>
      </c>
      <c r="V54" s="14" t="n">
        <v>1</v>
      </c>
      <c r="W54" s="17" t="n">
        <f aca="false">DATE(YEAR(B54),MONTH(B54),1)</f>
        <v>46082</v>
      </c>
      <c r="X54" s="14" t="n">
        <f aca="false">IF(AND(N54&lt;&gt;"Cancelled",I54&lt;=AsOf),1,0)</f>
        <v>1</v>
      </c>
      <c r="Y54" s="14" t="n">
        <f aca="false">IF(AND(N54&lt;&gt;"Cancelled",OR(ISNUMBER(K54),N54="Completed")),1,0)</f>
        <v>1</v>
      </c>
      <c r="Z54" s="14" t="n">
        <f aca="false">IF(AND(Y54=1,U54=1,ISNUMBER(K54)),K54-I54,"")</f>
        <v>-5</v>
      </c>
      <c r="AA54" s="14" t="str">
        <f aca="false">IF(Z54="","",IF(Z54&lt;0,"Early",IF(Z54=0,"On Time","Late")))</f>
        <v>Early</v>
      </c>
      <c r="AB54" s="14" t="n">
        <f aca="false">IF(AND(N54&lt;&gt;"Cancelled",L54&lt;=AsOf),1,0)</f>
        <v>1</v>
      </c>
      <c r="AC54" s="14" t="n">
        <f aca="false">IF(AND(N54&lt;&gt;"Cancelled",OR(ISNUMBER(M54),N54="Completed")),1,0)</f>
        <v>1</v>
      </c>
      <c r="AD54" s="14" t="n">
        <f aca="false">IF(AND(AC54=1,V54=1,ISNUMBER(M54)),M54-L54,"")</f>
        <v>-5</v>
      </c>
      <c r="AE54" s="14" t="str">
        <f aca="false">IF(AD54="","",IF(AD54&lt;0,"Early",IF(AD54=0,"On Time","Late")))</f>
        <v>Early</v>
      </c>
      <c r="AF54" s="14" t="n">
        <f aca="false">IF(AND(T54=1,ISNUMBER(J54),N54&lt;&gt;"Cancelled"),J54-B54,"")</f>
        <v>12</v>
      </c>
      <c r="AG54" s="14" t="n">
        <f aca="false">IF(AND(AF54&lt;&gt;"",Z54&lt;&gt;""),K54-J54,"")</f>
        <v>1</v>
      </c>
      <c r="AH54" s="14" t="n">
        <f aca="false">IF(AND(Z54&lt;&gt;"",AD54&lt;&gt;""),M54-K54,"")</f>
        <v>5</v>
      </c>
      <c r="AI54" s="14" t="n">
        <f aca="false">IF(Z54&lt;&gt;"",K54-B54,"")</f>
        <v>13</v>
      </c>
      <c r="AJ54" s="14" t="n">
        <f aca="false">IF(AND(N54="Completed",AD54&lt;&gt;""),M54-B54,"")</f>
        <v>18</v>
      </c>
      <c r="AK54" s="14" t="str">
        <f aca="false">IF(N54="Cancelled","Cancelled",IF(N54="Completed","Completed",IF(Y54=1,"Awaiting Installation",IF(ISNUMBER(J54),"In Transit","In Production"))))</f>
        <v>Completed</v>
      </c>
      <c r="AL54" s="18" t="n">
        <f aca="false">IF(AND(N54="Pending",OR(AND(Y54=0,I54&lt;AsOf),AND(Y54=1,L54&lt;AsOf))),1,0)</f>
        <v>0</v>
      </c>
      <c r="AM54" s="14" t="str">
        <f aca="false">IF(AL54=1,IF(Y54=0,AsOf-I54,AsOf-L54),"")</f>
        <v/>
      </c>
      <c r="AN54" s="14" t="str">
        <f aca="false">IF(AL54=1,IF(Y54=0,"Delivery","Installation"),"")</f>
        <v/>
      </c>
      <c r="AO54" s="14" t="n">
        <f aca="false">IF(AND(OR(fCat="All",F54=fCat),OR(fCust="All",D54=fCust),OR(fReg="All",E54=fReg)),1,0)</f>
        <v>1</v>
      </c>
      <c r="AP54" s="14" t="n">
        <f aca="false">IF(AND(AL54=1,AO54=1),AM54+ROW()/100000,0)</f>
        <v>0</v>
      </c>
    </row>
    <row r="55" customFormat="false" ht="15" hidden="false" customHeight="false" outlineLevel="0" collapsed="false">
      <c r="A55" s="14" t="s">
        <v>342</v>
      </c>
      <c r="B55" s="15" t="n">
        <v>46106</v>
      </c>
      <c r="C55" s="14" t="s">
        <v>343</v>
      </c>
      <c r="D55" s="14" t="s">
        <v>90</v>
      </c>
      <c r="E55" s="14" t="s">
        <v>66</v>
      </c>
      <c r="F55" s="14" t="s">
        <v>160</v>
      </c>
      <c r="G55" s="14" t="n">
        <v>1</v>
      </c>
      <c r="H55" s="16" t="n">
        <v>117000</v>
      </c>
      <c r="I55" s="15" t="n">
        <v>46120</v>
      </c>
      <c r="J55" s="15" t="n">
        <v>46108</v>
      </c>
      <c r="K55" s="15" t="n">
        <v>46119</v>
      </c>
      <c r="L55" s="15" t="n">
        <v>46123</v>
      </c>
      <c r="M55" s="15" t="n">
        <v>46120</v>
      </c>
      <c r="N55" s="14" t="s">
        <v>75</v>
      </c>
      <c r="O55" s="14"/>
      <c r="P55" s="14"/>
      <c r="Q55" s="14"/>
      <c r="R55" s="14"/>
      <c r="S55" s="14" t="s">
        <v>745</v>
      </c>
      <c r="T55" s="14" t="n">
        <v>1</v>
      </c>
      <c r="U55" s="14" t="n">
        <v>1</v>
      </c>
      <c r="V55" s="14" t="n">
        <v>1</v>
      </c>
      <c r="W55" s="17" t="n">
        <f aca="false">DATE(YEAR(B55),MONTH(B55),1)</f>
        <v>46082</v>
      </c>
      <c r="X55" s="14" t="n">
        <f aca="false">IF(AND(N55&lt;&gt;"Cancelled",I55&lt;=AsOf),1,0)</f>
        <v>1</v>
      </c>
      <c r="Y55" s="14" t="n">
        <f aca="false">IF(AND(N55&lt;&gt;"Cancelled",OR(ISNUMBER(K55),N55="Completed")),1,0)</f>
        <v>1</v>
      </c>
      <c r="Z55" s="14" t="n">
        <f aca="false">IF(AND(Y55=1,U55=1,ISNUMBER(K55)),K55-I55,"")</f>
        <v>-1</v>
      </c>
      <c r="AA55" s="14" t="str">
        <f aca="false">IF(Z55="","",IF(Z55&lt;0,"Early",IF(Z55=0,"On Time","Late")))</f>
        <v>Early</v>
      </c>
      <c r="AB55" s="14" t="n">
        <f aca="false">IF(AND(N55&lt;&gt;"Cancelled",L55&lt;=AsOf),1,0)</f>
        <v>1</v>
      </c>
      <c r="AC55" s="14" t="n">
        <f aca="false">IF(AND(N55&lt;&gt;"Cancelled",OR(ISNUMBER(M55),N55="Completed")),1,0)</f>
        <v>1</v>
      </c>
      <c r="AD55" s="14" t="n">
        <f aca="false">IF(AND(AC55=1,V55=1,ISNUMBER(M55)),M55-L55,"")</f>
        <v>-3</v>
      </c>
      <c r="AE55" s="14" t="str">
        <f aca="false">IF(AD55="","",IF(AD55&lt;0,"Early",IF(AD55=0,"On Time","Late")))</f>
        <v>Early</v>
      </c>
      <c r="AF55" s="14" t="n">
        <f aca="false">IF(AND(T55=1,ISNUMBER(J55),N55&lt;&gt;"Cancelled"),J55-B55,"")</f>
        <v>2</v>
      </c>
      <c r="AG55" s="14" t="n">
        <f aca="false">IF(AND(AF55&lt;&gt;"",Z55&lt;&gt;""),K55-J55,"")</f>
        <v>11</v>
      </c>
      <c r="AH55" s="14" t="n">
        <f aca="false">IF(AND(Z55&lt;&gt;"",AD55&lt;&gt;""),M55-K55,"")</f>
        <v>1</v>
      </c>
      <c r="AI55" s="14" t="n">
        <f aca="false">IF(Z55&lt;&gt;"",K55-B55,"")</f>
        <v>13</v>
      </c>
      <c r="AJ55" s="14" t="n">
        <f aca="false">IF(AND(N55="Completed",AD55&lt;&gt;""),M55-B55,"")</f>
        <v>14</v>
      </c>
      <c r="AK55" s="14" t="str">
        <f aca="false">IF(N55="Cancelled","Cancelled",IF(N55="Completed","Completed",IF(Y55=1,"Awaiting Installation",IF(ISNUMBER(J55),"In Transit","In Production"))))</f>
        <v>Completed</v>
      </c>
      <c r="AL55" s="18" t="n">
        <f aca="false">IF(AND(N55="Pending",OR(AND(Y55=0,I55&lt;AsOf),AND(Y55=1,L55&lt;AsOf))),1,0)</f>
        <v>0</v>
      </c>
      <c r="AM55" s="14" t="str">
        <f aca="false">IF(AL55=1,IF(Y55=0,AsOf-I55,AsOf-L55),"")</f>
        <v/>
      </c>
      <c r="AN55" s="14" t="str">
        <f aca="false">IF(AL55=1,IF(Y55=0,"Delivery","Installation"),"")</f>
        <v/>
      </c>
      <c r="AO55" s="14" t="n">
        <f aca="false">IF(AND(OR(fCat="All",F55=fCat),OR(fCust="All",D55=fCust),OR(fReg="All",E55=fReg)),1,0)</f>
        <v>1</v>
      </c>
      <c r="AP55" s="14" t="n">
        <f aca="false">IF(AND(AL55=1,AO55=1),AM55+ROW()/100000,0)</f>
        <v>0</v>
      </c>
    </row>
    <row r="56" customFormat="false" ht="15" hidden="false" customHeight="false" outlineLevel="0" collapsed="false">
      <c r="A56" s="14" t="s">
        <v>345</v>
      </c>
      <c r="B56" s="15" t="n">
        <v>46107</v>
      </c>
      <c r="C56" s="14" t="s">
        <v>346</v>
      </c>
      <c r="D56" s="14" t="s">
        <v>149</v>
      </c>
      <c r="E56" s="14" t="s">
        <v>66</v>
      </c>
      <c r="F56" s="14" t="s">
        <v>150</v>
      </c>
      <c r="G56" s="14" t="n">
        <v>1</v>
      </c>
      <c r="H56" s="16" t="n">
        <v>372000</v>
      </c>
      <c r="I56" s="15" t="n">
        <v>46125</v>
      </c>
      <c r="J56" s="15" t="n">
        <v>46118</v>
      </c>
      <c r="K56" s="15" t="n">
        <v>46126</v>
      </c>
      <c r="L56" s="15" t="n">
        <v>46128</v>
      </c>
      <c r="M56" s="15" t="n">
        <v>46127</v>
      </c>
      <c r="N56" s="14" t="s">
        <v>75</v>
      </c>
      <c r="O56" s="14" t="s">
        <v>352</v>
      </c>
      <c r="P56" s="14"/>
      <c r="Q56" s="14"/>
      <c r="R56" s="14"/>
      <c r="S56" s="14" t="s">
        <v>745</v>
      </c>
      <c r="T56" s="14" t="n">
        <v>1</v>
      </c>
      <c r="U56" s="14" t="n">
        <v>1</v>
      </c>
      <c r="V56" s="14" t="n">
        <v>1</v>
      </c>
      <c r="W56" s="17" t="n">
        <f aca="false">DATE(YEAR(B56),MONTH(B56),1)</f>
        <v>46082</v>
      </c>
      <c r="X56" s="14" t="n">
        <f aca="false">IF(AND(N56&lt;&gt;"Cancelled",I56&lt;=AsOf),1,0)</f>
        <v>1</v>
      </c>
      <c r="Y56" s="14" t="n">
        <f aca="false">IF(AND(N56&lt;&gt;"Cancelled",OR(ISNUMBER(K56),N56="Completed")),1,0)</f>
        <v>1</v>
      </c>
      <c r="Z56" s="14" t="n">
        <f aca="false">IF(AND(Y56=1,U56=1,ISNUMBER(K56)),K56-I56,"")</f>
        <v>1</v>
      </c>
      <c r="AA56" s="14" t="str">
        <f aca="false">IF(Z56="","",IF(Z56&lt;0,"Early",IF(Z56=0,"On Time","Late")))</f>
        <v>Late</v>
      </c>
      <c r="AB56" s="14" t="n">
        <f aca="false">IF(AND(N56&lt;&gt;"Cancelled",L56&lt;=AsOf),1,0)</f>
        <v>1</v>
      </c>
      <c r="AC56" s="14" t="n">
        <f aca="false">IF(AND(N56&lt;&gt;"Cancelled",OR(ISNUMBER(M56),N56="Completed")),1,0)</f>
        <v>1</v>
      </c>
      <c r="AD56" s="14" t="n">
        <f aca="false">IF(AND(AC56=1,V56=1,ISNUMBER(M56)),M56-L56,"")</f>
        <v>-1</v>
      </c>
      <c r="AE56" s="14" t="str">
        <f aca="false">IF(AD56="","",IF(AD56&lt;0,"Early",IF(AD56=0,"On Time","Late")))</f>
        <v>Early</v>
      </c>
      <c r="AF56" s="14" t="n">
        <f aca="false">IF(AND(T56=1,ISNUMBER(J56),N56&lt;&gt;"Cancelled"),J56-B56,"")</f>
        <v>11</v>
      </c>
      <c r="AG56" s="14" t="n">
        <f aca="false">IF(AND(AF56&lt;&gt;"",Z56&lt;&gt;""),K56-J56,"")</f>
        <v>8</v>
      </c>
      <c r="AH56" s="14" t="n">
        <f aca="false">IF(AND(Z56&lt;&gt;"",AD56&lt;&gt;""),M56-K56,"")</f>
        <v>1</v>
      </c>
      <c r="AI56" s="14" t="n">
        <f aca="false">IF(Z56&lt;&gt;"",K56-B56,"")</f>
        <v>19</v>
      </c>
      <c r="AJ56" s="14" t="n">
        <f aca="false">IF(AND(N56="Completed",AD56&lt;&gt;""),M56-B56,"")</f>
        <v>20</v>
      </c>
      <c r="AK56" s="14" t="str">
        <f aca="false">IF(N56="Cancelled","Cancelled",IF(N56="Completed","Completed",IF(Y56=1,"Awaiting Installation",IF(ISNUMBER(J56),"In Transit","In Production"))))</f>
        <v>Completed</v>
      </c>
      <c r="AL56" s="18" t="n">
        <f aca="false">IF(AND(N56="Pending",OR(AND(Y56=0,I56&lt;AsOf),AND(Y56=1,L56&lt;AsOf))),1,0)</f>
        <v>0</v>
      </c>
      <c r="AM56" s="14" t="str">
        <f aca="false">IF(AL56=1,IF(Y56=0,AsOf-I56,AsOf-L56),"")</f>
        <v/>
      </c>
      <c r="AN56" s="14" t="str">
        <f aca="false">IF(AL56=1,IF(Y56=0,"Delivery","Installation"),"")</f>
        <v/>
      </c>
      <c r="AO56" s="14" t="n">
        <f aca="false">IF(AND(OR(fCat="All",F56=fCat),OR(fCust="All",D56=fCust),OR(fReg="All",E56=fReg)),1,0)</f>
        <v>1</v>
      </c>
      <c r="AP56" s="14" t="n">
        <f aca="false">IF(AND(AL56=1,AO56=1),AM56+ROW()/100000,0)</f>
        <v>0</v>
      </c>
    </row>
    <row r="57" customFormat="false" ht="15" hidden="false" customHeight="false" outlineLevel="0" collapsed="false">
      <c r="A57" s="14" t="s">
        <v>353</v>
      </c>
      <c r="B57" s="15" t="n">
        <v>46108</v>
      </c>
      <c r="C57" s="14" t="s">
        <v>185</v>
      </c>
      <c r="D57" s="14" t="s">
        <v>90</v>
      </c>
      <c r="E57" s="14" t="s">
        <v>91</v>
      </c>
      <c r="F57" s="14" t="s">
        <v>103</v>
      </c>
      <c r="G57" s="14" t="n">
        <v>2</v>
      </c>
      <c r="H57" s="16" t="n">
        <v>1000000</v>
      </c>
      <c r="I57" s="15" t="n">
        <v>46129</v>
      </c>
      <c r="J57" s="15" t="n">
        <v>46120</v>
      </c>
      <c r="K57" s="15" t="n">
        <v>46121</v>
      </c>
      <c r="L57" s="15" t="n">
        <v>46134</v>
      </c>
      <c r="M57" s="15" t="n">
        <v>46126</v>
      </c>
      <c r="N57" s="14" t="s">
        <v>75</v>
      </c>
      <c r="O57" s="14"/>
      <c r="P57" s="14"/>
      <c r="Q57" s="14"/>
      <c r="R57" s="14" t="s">
        <v>226</v>
      </c>
      <c r="S57" s="14" t="s">
        <v>745</v>
      </c>
      <c r="T57" s="14" t="n">
        <v>1</v>
      </c>
      <c r="U57" s="14" t="n">
        <v>1</v>
      </c>
      <c r="V57" s="14" t="n">
        <v>1</v>
      </c>
      <c r="W57" s="17" t="n">
        <f aca="false">DATE(YEAR(B57),MONTH(B57),1)</f>
        <v>46082</v>
      </c>
      <c r="X57" s="14" t="n">
        <f aca="false">IF(AND(N57&lt;&gt;"Cancelled",I57&lt;=AsOf),1,0)</f>
        <v>1</v>
      </c>
      <c r="Y57" s="14" t="n">
        <f aca="false">IF(AND(N57&lt;&gt;"Cancelled",OR(ISNUMBER(K57),N57="Completed")),1,0)</f>
        <v>1</v>
      </c>
      <c r="Z57" s="14" t="n">
        <f aca="false">IF(AND(Y57=1,U57=1,ISNUMBER(K57)),K57-I57,"")</f>
        <v>-8</v>
      </c>
      <c r="AA57" s="14" t="str">
        <f aca="false">IF(Z57="","",IF(Z57&lt;0,"Early",IF(Z57=0,"On Time","Late")))</f>
        <v>Early</v>
      </c>
      <c r="AB57" s="14" t="n">
        <f aca="false">IF(AND(N57&lt;&gt;"Cancelled",L57&lt;=AsOf),1,0)</f>
        <v>1</v>
      </c>
      <c r="AC57" s="14" t="n">
        <f aca="false">IF(AND(N57&lt;&gt;"Cancelled",OR(ISNUMBER(M57),N57="Completed")),1,0)</f>
        <v>1</v>
      </c>
      <c r="AD57" s="14" t="n">
        <f aca="false">IF(AND(AC57=1,V57=1,ISNUMBER(M57)),M57-L57,"")</f>
        <v>-8</v>
      </c>
      <c r="AE57" s="14" t="str">
        <f aca="false">IF(AD57="","",IF(AD57&lt;0,"Early",IF(AD57=0,"On Time","Late")))</f>
        <v>Early</v>
      </c>
      <c r="AF57" s="14" t="n">
        <f aca="false">IF(AND(T57=1,ISNUMBER(J57),N57&lt;&gt;"Cancelled"),J57-B57,"")</f>
        <v>12</v>
      </c>
      <c r="AG57" s="14" t="n">
        <f aca="false">IF(AND(AF57&lt;&gt;"",Z57&lt;&gt;""),K57-J57,"")</f>
        <v>1</v>
      </c>
      <c r="AH57" s="14" t="n">
        <f aca="false">IF(AND(Z57&lt;&gt;"",AD57&lt;&gt;""),M57-K57,"")</f>
        <v>5</v>
      </c>
      <c r="AI57" s="14" t="n">
        <f aca="false">IF(Z57&lt;&gt;"",K57-B57,"")</f>
        <v>13</v>
      </c>
      <c r="AJ57" s="14" t="n">
        <f aca="false">IF(AND(N57="Completed",AD57&lt;&gt;""),M57-B57,"")</f>
        <v>18</v>
      </c>
      <c r="AK57" s="14" t="str">
        <f aca="false">IF(N57="Cancelled","Cancelled",IF(N57="Completed","Completed",IF(Y57=1,"Awaiting Installation",IF(ISNUMBER(J57),"In Transit","In Production"))))</f>
        <v>Completed</v>
      </c>
      <c r="AL57" s="18" t="n">
        <f aca="false">IF(AND(N57="Pending",OR(AND(Y57=0,I57&lt;AsOf),AND(Y57=1,L57&lt;AsOf))),1,0)</f>
        <v>0</v>
      </c>
      <c r="AM57" s="14" t="str">
        <f aca="false">IF(AL57=1,IF(Y57=0,AsOf-I57,AsOf-L57),"")</f>
        <v/>
      </c>
      <c r="AN57" s="14" t="str">
        <f aca="false">IF(AL57=1,IF(Y57=0,"Delivery","Installation"),"")</f>
        <v/>
      </c>
      <c r="AO57" s="14" t="n">
        <f aca="false">IF(AND(OR(fCat="All",F57=fCat),OR(fCust="All",D57=fCust),OR(fReg="All",E57=fReg)),1,0)</f>
        <v>1</v>
      </c>
      <c r="AP57" s="14" t="n">
        <f aca="false">IF(AND(AL57=1,AO57=1),AM57+ROW()/100000,0)</f>
        <v>0</v>
      </c>
    </row>
    <row r="58" customFormat="false" ht="15" hidden="false" customHeight="false" outlineLevel="0" collapsed="false">
      <c r="A58" s="14" t="s">
        <v>358</v>
      </c>
      <c r="B58" s="15" t="n">
        <v>46108</v>
      </c>
      <c r="C58" s="14" t="s">
        <v>359</v>
      </c>
      <c r="D58" s="14" t="s">
        <v>149</v>
      </c>
      <c r="E58" s="14" t="s">
        <v>91</v>
      </c>
      <c r="F58" s="14" t="s">
        <v>160</v>
      </c>
      <c r="G58" s="14" t="n">
        <v>1</v>
      </c>
      <c r="H58" s="16" t="n">
        <v>174000</v>
      </c>
      <c r="I58" s="15" t="n">
        <v>46118</v>
      </c>
      <c r="J58" s="15" t="n">
        <v>46109</v>
      </c>
      <c r="K58" s="15" t="n">
        <v>46110</v>
      </c>
      <c r="L58" s="15" t="n">
        <v>46121</v>
      </c>
      <c r="M58" s="15" t="n">
        <v>46111</v>
      </c>
      <c r="N58" s="14" t="s">
        <v>75</v>
      </c>
      <c r="O58" s="14"/>
      <c r="P58" s="14"/>
      <c r="Q58" s="14"/>
      <c r="R58" s="14" t="s">
        <v>134</v>
      </c>
      <c r="S58" s="14" t="s">
        <v>745</v>
      </c>
      <c r="T58" s="14" t="n">
        <v>1</v>
      </c>
      <c r="U58" s="14" t="n">
        <v>1</v>
      </c>
      <c r="V58" s="14" t="n">
        <v>1</v>
      </c>
      <c r="W58" s="17" t="n">
        <f aca="false">DATE(YEAR(B58),MONTH(B58),1)</f>
        <v>46082</v>
      </c>
      <c r="X58" s="14" t="n">
        <f aca="false">IF(AND(N58&lt;&gt;"Cancelled",I58&lt;=AsOf),1,0)</f>
        <v>1</v>
      </c>
      <c r="Y58" s="14" t="n">
        <f aca="false">IF(AND(N58&lt;&gt;"Cancelled",OR(ISNUMBER(K58),N58="Completed")),1,0)</f>
        <v>1</v>
      </c>
      <c r="Z58" s="14" t="n">
        <f aca="false">IF(AND(Y58=1,U58=1,ISNUMBER(K58)),K58-I58,"")</f>
        <v>-8</v>
      </c>
      <c r="AA58" s="14" t="str">
        <f aca="false">IF(Z58="","",IF(Z58&lt;0,"Early",IF(Z58=0,"On Time","Late")))</f>
        <v>Early</v>
      </c>
      <c r="AB58" s="14" t="n">
        <f aca="false">IF(AND(N58&lt;&gt;"Cancelled",L58&lt;=AsOf),1,0)</f>
        <v>1</v>
      </c>
      <c r="AC58" s="14" t="n">
        <f aca="false">IF(AND(N58&lt;&gt;"Cancelled",OR(ISNUMBER(M58),N58="Completed")),1,0)</f>
        <v>1</v>
      </c>
      <c r="AD58" s="14" t="n">
        <f aca="false">IF(AND(AC58=1,V58=1,ISNUMBER(M58)),M58-L58,"")</f>
        <v>-10</v>
      </c>
      <c r="AE58" s="14" t="str">
        <f aca="false">IF(AD58="","",IF(AD58&lt;0,"Early",IF(AD58=0,"On Time","Late")))</f>
        <v>Early</v>
      </c>
      <c r="AF58" s="14" t="n">
        <f aca="false">IF(AND(T58=1,ISNUMBER(J58),N58&lt;&gt;"Cancelled"),J58-B58,"")</f>
        <v>1</v>
      </c>
      <c r="AG58" s="14" t="n">
        <f aca="false">IF(AND(AF58&lt;&gt;"",Z58&lt;&gt;""),K58-J58,"")</f>
        <v>1</v>
      </c>
      <c r="AH58" s="14" t="n">
        <f aca="false">IF(AND(Z58&lt;&gt;"",AD58&lt;&gt;""),M58-K58,"")</f>
        <v>1</v>
      </c>
      <c r="AI58" s="14" t="n">
        <f aca="false">IF(Z58&lt;&gt;"",K58-B58,"")</f>
        <v>2</v>
      </c>
      <c r="AJ58" s="14" t="n">
        <f aca="false">IF(AND(N58="Completed",AD58&lt;&gt;""),M58-B58,"")</f>
        <v>3</v>
      </c>
      <c r="AK58" s="14" t="str">
        <f aca="false">IF(N58="Cancelled","Cancelled",IF(N58="Completed","Completed",IF(Y58=1,"Awaiting Installation",IF(ISNUMBER(J58),"In Transit","In Production"))))</f>
        <v>Completed</v>
      </c>
      <c r="AL58" s="18" t="n">
        <f aca="false">IF(AND(N58="Pending",OR(AND(Y58=0,I58&lt;AsOf),AND(Y58=1,L58&lt;AsOf))),1,0)</f>
        <v>0</v>
      </c>
      <c r="AM58" s="14" t="str">
        <f aca="false">IF(AL58=1,IF(Y58=0,AsOf-I58,AsOf-L58),"")</f>
        <v/>
      </c>
      <c r="AN58" s="14" t="str">
        <f aca="false">IF(AL58=1,IF(Y58=0,"Delivery","Installation"),"")</f>
        <v/>
      </c>
      <c r="AO58" s="14" t="n">
        <f aca="false">IF(AND(OR(fCat="All",F58=fCat),OR(fCust="All",D58=fCust),OR(fReg="All",E58=fReg)),1,0)</f>
        <v>1</v>
      </c>
      <c r="AP58" s="14" t="n">
        <f aca="false">IF(AND(AL58=1,AO58=1),AM58+ROW()/100000,0)</f>
        <v>0</v>
      </c>
    </row>
    <row r="59" customFormat="false" ht="15" hidden="false" customHeight="false" outlineLevel="0" collapsed="false">
      <c r="A59" s="14" t="s">
        <v>360</v>
      </c>
      <c r="B59" s="15" t="n">
        <v>46109</v>
      </c>
      <c r="C59" s="14" t="s">
        <v>361</v>
      </c>
      <c r="D59" s="14" t="s">
        <v>90</v>
      </c>
      <c r="E59" s="14" t="s">
        <v>91</v>
      </c>
      <c r="F59" s="14" t="s">
        <v>160</v>
      </c>
      <c r="G59" s="14" t="n">
        <v>1</v>
      </c>
      <c r="H59" s="16" t="n">
        <v>202000</v>
      </c>
      <c r="I59" s="15" t="n">
        <v>46119</v>
      </c>
      <c r="J59" s="15" t="n">
        <v>46112</v>
      </c>
      <c r="K59" s="15"/>
      <c r="L59" s="15" t="n">
        <v>46122</v>
      </c>
      <c r="M59" s="15"/>
      <c r="N59" s="14" t="s">
        <v>188</v>
      </c>
      <c r="O59" s="14"/>
      <c r="P59" s="14"/>
      <c r="Q59" s="14" t="s">
        <v>210</v>
      </c>
      <c r="R59" s="14" t="s">
        <v>98</v>
      </c>
      <c r="S59" s="14" t="s">
        <v>745</v>
      </c>
      <c r="T59" s="14" t="n">
        <v>1</v>
      </c>
      <c r="U59" s="14" t="n">
        <v>1</v>
      </c>
      <c r="V59" s="14" t="n">
        <v>1</v>
      </c>
      <c r="W59" s="17" t="n">
        <f aca="false">DATE(YEAR(B59),MONTH(B59),1)</f>
        <v>46082</v>
      </c>
      <c r="X59" s="14" t="n">
        <f aca="false">IF(AND(N59&lt;&gt;"Cancelled",I59&lt;=AsOf),1,0)</f>
        <v>0</v>
      </c>
      <c r="Y59" s="14" t="n">
        <f aca="false">IF(AND(N59&lt;&gt;"Cancelled",OR(ISNUMBER(K59),N59="Completed")),1,0)</f>
        <v>0</v>
      </c>
      <c r="Z59" s="14" t="str">
        <f aca="false">IF(AND(Y59=1,U59=1,ISNUMBER(K59)),K59-I59,"")</f>
        <v/>
      </c>
      <c r="AA59" s="14" t="str">
        <f aca="false">IF(Z59="","",IF(Z59&lt;0,"Early",IF(Z59=0,"On Time","Late")))</f>
        <v/>
      </c>
      <c r="AB59" s="14" t="n">
        <f aca="false">IF(AND(N59&lt;&gt;"Cancelled",L59&lt;=AsOf),1,0)</f>
        <v>0</v>
      </c>
      <c r="AC59" s="14" t="n">
        <f aca="false">IF(AND(N59&lt;&gt;"Cancelled",OR(ISNUMBER(M59),N59="Completed")),1,0)</f>
        <v>0</v>
      </c>
      <c r="AD59" s="14" t="str">
        <f aca="false">IF(AND(AC59=1,V59=1,ISNUMBER(M59)),M59-L59,"")</f>
        <v/>
      </c>
      <c r="AE59" s="14" t="str">
        <f aca="false">IF(AD59="","",IF(AD59&lt;0,"Early",IF(AD59=0,"On Time","Late")))</f>
        <v/>
      </c>
      <c r="AF59" s="14" t="str">
        <f aca="false">IF(AND(T59=1,ISNUMBER(J59),N59&lt;&gt;"Cancelled"),J59-B59,"")</f>
        <v/>
      </c>
      <c r="AG59" s="14" t="str">
        <f aca="false">IF(AND(AF59&lt;&gt;"",Z59&lt;&gt;""),K59-J59,"")</f>
        <v/>
      </c>
      <c r="AH59" s="14" t="str">
        <f aca="false">IF(AND(Z59&lt;&gt;"",AD59&lt;&gt;""),M59-K59,"")</f>
        <v/>
      </c>
      <c r="AI59" s="14" t="str">
        <f aca="false">IF(Z59&lt;&gt;"",K59-B59,"")</f>
        <v/>
      </c>
      <c r="AJ59" s="14" t="str">
        <f aca="false">IF(AND(N59="Completed",AD59&lt;&gt;""),M59-B59,"")</f>
        <v/>
      </c>
      <c r="AK59" s="14" t="str">
        <f aca="false">IF(N59="Cancelled","Cancelled",IF(N59="Completed","Completed",IF(Y59=1,"Awaiting Installation",IF(ISNUMBER(J59),"In Transit","In Production"))))</f>
        <v>Cancelled</v>
      </c>
      <c r="AL59" s="18" t="n">
        <f aca="false">IF(AND(N59="Pending",OR(AND(Y59=0,I59&lt;AsOf),AND(Y59=1,L59&lt;AsOf))),1,0)</f>
        <v>0</v>
      </c>
      <c r="AM59" s="14" t="str">
        <f aca="false">IF(AL59=1,IF(Y59=0,AsOf-I59,AsOf-L59),"")</f>
        <v/>
      </c>
      <c r="AN59" s="14" t="str">
        <f aca="false">IF(AL59=1,IF(Y59=0,"Delivery","Installation"),"")</f>
        <v/>
      </c>
      <c r="AO59" s="14" t="n">
        <f aca="false">IF(AND(OR(fCat="All",F59=fCat),OR(fCust="All",D59=fCust),OR(fReg="All",E59=fReg)),1,0)</f>
        <v>1</v>
      </c>
      <c r="AP59" s="14" t="n">
        <f aca="false">IF(AND(AL59=1,AO59=1),AM59+ROW()/100000,0)</f>
        <v>0</v>
      </c>
    </row>
    <row r="60" customFormat="false" ht="15" hidden="false" customHeight="false" outlineLevel="0" collapsed="false">
      <c r="A60" s="14" t="s">
        <v>364</v>
      </c>
      <c r="B60" s="15" t="n">
        <v>46109</v>
      </c>
      <c r="C60" s="14" t="s">
        <v>302</v>
      </c>
      <c r="D60" s="14" t="s">
        <v>149</v>
      </c>
      <c r="E60" s="14" t="s">
        <v>91</v>
      </c>
      <c r="F60" s="14" t="s">
        <v>160</v>
      </c>
      <c r="G60" s="14" t="n">
        <v>1</v>
      </c>
      <c r="H60" s="16" t="n">
        <v>134000</v>
      </c>
      <c r="I60" s="15" t="n">
        <v>46119</v>
      </c>
      <c r="J60" s="15" t="n">
        <v>46116</v>
      </c>
      <c r="K60" s="15" t="n">
        <v>46117</v>
      </c>
      <c r="L60" s="15" t="n">
        <v>46122</v>
      </c>
      <c r="M60" s="15"/>
      <c r="N60" s="14" t="s">
        <v>328</v>
      </c>
      <c r="O60" s="14"/>
      <c r="P60" s="14" t="s">
        <v>183</v>
      </c>
      <c r="Q60" s="14"/>
      <c r="R60" s="14" t="s">
        <v>366</v>
      </c>
      <c r="S60" s="14" t="s">
        <v>745</v>
      </c>
      <c r="T60" s="14" t="n">
        <v>1</v>
      </c>
      <c r="U60" s="14" t="n">
        <v>1</v>
      </c>
      <c r="V60" s="14" t="n">
        <v>1</v>
      </c>
      <c r="W60" s="17" t="n">
        <f aca="false">DATE(YEAR(B60),MONTH(B60),1)</f>
        <v>46082</v>
      </c>
      <c r="X60" s="14" t="n">
        <f aca="false">IF(AND(N60&lt;&gt;"Cancelled",I60&lt;=AsOf),1,0)</f>
        <v>1</v>
      </c>
      <c r="Y60" s="14" t="n">
        <f aca="false">IF(AND(N60&lt;&gt;"Cancelled",OR(ISNUMBER(K60),N60="Completed")),1,0)</f>
        <v>1</v>
      </c>
      <c r="Z60" s="14" t="n">
        <f aca="false">IF(AND(Y60=1,U60=1,ISNUMBER(K60)),K60-I60,"")</f>
        <v>-2</v>
      </c>
      <c r="AA60" s="14" t="str">
        <f aca="false">IF(Z60="","",IF(Z60&lt;0,"Early",IF(Z60=0,"On Time","Late")))</f>
        <v>Early</v>
      </c>
      <c r="AB60" s="14" t="n">
        <f aca="false">IF(AND(N60&lt;&gt;"Cancelled",L60&lt;=AsOf),1,0)</f>
        <v>1</v>
      </c>
      <c r="AC60" s="14" t="n">
        <f aca="false">IF(AND(N60&lt;&gt;"Cancelled",OR(ISNUMBER(M60),N60="Completed")),1,0)</f>
        <v>0</v>
      </c>
      <c r="AD60" s="14" t="str">
        <f aca="false">IF(AND(AC60=1,V60=1,ISNUMBER(M60)),M60-L60,"")</f>
        <v/>
      </c>
      <c r="AE60" s="14" t="str">
        <f aca="false">IF(AD60="","",IF(AD60&lt;0,"Early",IF(AD60=0,"On Time","Late")))</f>
        <v/>
      </c>
      <c r="AF60" s="14" t="n">
        <f aca="false">IF(AND(T60=1,ISNUMBER(J60),N60&lt;&gt;"Cancelled"),J60-B60,"")</f>
        <v>7</v>
      </c>
      <c r="AG60" s="14" t="n">
        <f aca="false">IF(AND(AF60&lt;&gt;"",Z60&lt;&gt;""),K60-J60,"")</f>
        <v>1</v>
      </c>
      <c r="AH60" s="14" t="str">
        <f aca="false">IF(AND(Z60&lt;&gt;"",AD60&lt;&gt;""),M60-K60,"")</f>
        <v/>
      </c>
      <c r="AI60" s="14" t="n">
        <f aca="false">IF(Z60&lt;&gt;"",K60-B60,"")</f>
        <v>8</v>
      </c>
      <c r="AJ60" s="14" t="str">
        <f aca="false">IF(AND(N60="Completed",AD60&lt;&gt;""),M60-B60,"")</f>
        <v/>
      </c>
      <c r="AK60" s="14" t="str">
        <f aca="false">IF(N60="Cancelled","Cancelled",IF(N60="Completed","Completed",IF(Y60=1,"Awaiting Installation",IF(ISNUMBER(J60),"In Transit","In Production"))))</f>
        <v>Awaiting Installation</v>
      </c>
      <c r="AL60" s="18" t="n">
        <f aca="false">IF(AND(N60="Pending",OR(AND(Y60=0,I60&lt;AsOf),AND(Y60=1,L60&lt;AsOf))),1,0)</f>
        <v>1</v>
      </c>
      <c r="AM60" s="14" t="n">
        <f aca="false">IF(AL60=1,IF(Y60=0,AsOf-I60,AsOf-L60),"")</f>
        <v>81</v>
      </c>
      <c r="AN60" s="14" t="str">
        <f aca="false">IF(AL60=1,IF(Y60=0,"Delivery","Installation"),"")</f>
        <v>Installation</v>
      </c>
      <c r="AO60" s="14" t="n">
        <f aca="false">IF(AND(OR(fCat="All",F60=fCat),OR(fCust="All",D60=fCust),OR(fReg="All",E60=fReg)),1,0)</f>
        <v>1</v>
      </c>
      <c r="AP60" s="14" t="n">
        <f aca="false">IF(AND(AL60=1,AO60=1),AM60+ROW()/100000,0)</f>
        <v>81.0006</v>
      </c>
    </row>
    <row r="61" customFormat="false" ht="15" hidden="false" customHeight="false" outlineLevel="0" collapsed="false">
      <c r="A61" s="14" t="s">
        <v>367</v>
      </c>
      <c r="B61" s="15" t="n">
        <v>46109</v>
      </c>
      <c r="C61" s="14" t="s">
        <v>368</v>
      </c>
      <c r="D61" s="14" t="s">
        <v>65</v>
      </c>
      <c r="E61" s="14" t="s">
        <v>91</v>
      </c>
      <c r="F61" s="14" t="s">
        <v>121</v>
      </c>
      <c r="G61" s="14" t="n">
        <v>1</v>
      </c>
      <c r="H61" s="16" t="n">
        <v>1023000</v>
      </c>
      <c r="I61" s="15" t="n">
        <v>46139</v>
      </c>
      <c r="J61" s="15" t="n">
        <v>46198</v>
      </c>
      <c r="K61" s="15" t="n">
        <v>46199</v>
      </c>
      <c r="L61" s="15" t="n">
        <v>46144</v>
      </c>
      <c r="M61" s="15" t="n">
        <v>46202</v>
      </c>
      <c r="N61" s="14" t="s">
        <v>75</v>
      </c>
      <c r="O61" s="14" t="s">
        <v>84</v>
      </c>
      <c r="P61" s="14" t="s">
        <v>85</v>
      </c>
      <c r="Q61" s="14"/>
      <c r="R61" s="14" t="s">
        <v>226</v>
      </c>
      <c r="S61" s="14" t="s">
        <v>745</v>
      </c>
      <c r="T61" s="14" t="n">
        <v>1</v>
      </c>
      <c r="U61" s="14" t="n">
        <v>1</v>
      </c>
      <c r="V61" s="14" t="n">
        <v>1</v>
      </c>
      <c r="W61" s="17" t="n">
        <f aca="false">DATE(YEAR(B61),MONTH(B61),1)</f>
        <v>46082</v>
      </c>
      <c r="X61" s="14" t="n">
        <f aca="false">IF(AND(N61&lt;&gt;"Cancelled",I61&lt;=AsOf),1,0)</f>
        <v>1</v>
      </c>
      <c r="Y61" s="14" t="n">
        <f aca="false">IF(AND(N61&lt;&gt;"Cancelled",OR(ISNUMBER(K61),N61="Completed")),1,0)</f>
        <v>1</v>
      </c>
      <c r="Z61" s="14" t="n">
        <f aca="false">IF(AND(Y61=1,U61=1,ISNUMBER(K61)),K61-I61,"")</f>
        <v>60</v>
      </c>
      <c r="AA61" s="14" t="str">
        <f aca="false">IF(Z61="","",IF(Z61&lt;0,"Early",IF(Z61=0,"On Time","Late")))</f>
        <v>Late</v>
      </c>
      <c r="AB61" s="14" t="n">
        <f aca="false">IF(AND(N61&lt;&gt;"Cancelled",L61&lt;=AsOf),1,0)</f>
        <v>1</v>
      </c>
      <c r="AC61" s="14" t="n">
        <f aca="false">IF(AND(N61&lt;&gt;"Cancelled",OR(ISNUMBER(M61),N61="Completed")),1,0)</f>
        <v>1</v>
      </c>
      <c r="AD61" s="14" t="n">
        <f aca="false">IF(AND(AC61=1,V61=1,ISNUMBER(M61)),M61-L61,"")</f>
        <v>58</v>
      </c>
      <c r="AE61" s="14" t="str">
        <f aca="false">IF(AD61="","",IF(AD61&lt;0,"Early",IF(AD61=0,"On Time","Late")))</f>
        <v>Late</v>
      </c>
      <c r="AF61" s="14" t="n">
        <f aca="false">IF(AND(T61=1,ISNUMBER(J61),N61&lt;&gt;"Cancelled"),J61-B61,"")</f>
        <v>89</v>
      </c>
      <c r="AG61" s="14" t="n">
        <f aca="false">IF(AND(AF61&lt;&gt;"",Z61&lt;&gt;""),K61-J61,"")</f>
        <v>1</v>
      </c>
      <c r="AH61" s="14" t="n">
        <f aca="false">IF(AND(Z61&lt;&gt;"",AD61&lt;&gt;""),M61-K61,"")</f>
        <v>3</v>
      </c>
      <c r="AI61" s="14" t="n">
        <f aca="false">IF(Z61&lt;&gt;"",K61-B61,"")</f>
        <v>90</v>
      </c>
      <c r="AJ61" s="14" t="n">
        <f aca="false">IF(AND(N61="Completed",AD61&lt;&gt;""),M61-B61,"")</f>
        <v>93</v>
      </c>
      <c r="AK61" s="14" t="str">
        <f aca="false">IF(N61="Cancelled","Cancelled",IF(N61="Completed","Completed",IF(Y61=1,"Awaiting Installation",IF(ISNUMBER(J61),"In Transit","In Production"))))</f>
        <v>Completed</v>
      </c>
      <c r="AL61" s="18" t="n">
        <f aca="false">IF(AND(N61="Pending",OR(AND(Y61=0,I61&lt;AsOf),AND(Y61=1,L61&lt;AsOf))),1,0)</f>
        <v>0</v>
      </c>
      <c r="AM61" s="14" t="str">
        <f aca="false">IF(AL61=1,IF(Y61=0,AsOf-I61,AsOf-L61),"")</f>
        <v/>
      </c>
      <c r="AN61" s="14" t="str">
        <f aca="false">IF(AL61=1,IF(Y61=0,"Delivery","Installation"),"")</f>
        <v/>
      </c>
      <c r="AO61" s="14" t="n">
        <f aca="false">IF(AND(OR(fCat="All",F61=fCat),OR(fCust="All",D61=fCust),OR(fReg="All",E61=fReg)),1,0)</f>
        <v>1</v>
      </c>
      <c r="AP61" s="14" t="n">
        <f aca="false">IF(AND(AL61=1,AO61=1),AM61+ROW()/100000,0)</f>
        <v>0</v>
      </c>
    </row>
    <row r="62" customFormat="false" ht="15" hidden="false" customHeight="false" outlineLevel="0" collapsed="false">
      <c r="A62" s="14" t="s">
        <v>372</v>
      </c>
      <c r="B62" s="15" t="n">
        <v>46111</v>
      </c>
      <c r="C62" s="14" t="s">
        <v>373</v>
      </c>
      <c r="D62" s="14" t="s">
        <v>149</v>
      </c>
      <c r="E62" s="14" t="s">
        <v>102</v>
      </c>
      <c r="F62" s="14" t="s">
        <v>150</v>
      </c>
      <c r="G62" s="14" t="n">
        <v>1</v>
      </c>
      <c r="H62" s="16" t="n">
        <v>498000</v>
      </c>
      <c r="I62" s="15" t="n">
        <v>46127</v>
      </c>
      <c r="J62" s="15" t="n">
        <v>46122</v>
      </c>
      <c r="K62" s="15" t="n">
        <v>46125</v>
      </c>
      <c r="L62" s="15" t="n">
        <v>46130</v>
      </c>
      <c r="M62" s="15" t="n">
        <v>46127</v>
      </c>
      <c r="N62" s="14" t="s">
        <v>75</v>
      </c>
      <c r="O62" s="14"/>
      <c r="P62" s="14"/>
      <c r="Q62" s="14"/>
      <c r="R62" s="14" t="s">
        <v>98</v>
      </c>
      <c r="S62" s="14" t="s">
        <v>745</v>
      </c>
      <c r="T62" s="14" t="n">
        <v>1</v>
      </c>
      <c r="U62" s="14" t="n">
        <v>1</v>
      </c>
      <c r="V62" s="14" t="n">
        <v>1</v>
      </c>
      <c r="W62" s="17" t="n">
        <f aca="false">DATE(YEAR(B62),MONTH(B62),1)</f>
        <v>46082</v>
      </c>
      <c r="X62" s="14" t="n">
        <f aca="false">IF(AND(N62&lt;&gt;"Cancelled",I62&lt;=AsOf),1,0)</f>
        <v>1</v>
      </c>
      <c r="Y62" s="14" t="n">
        <f aca="false">IF(AND(N62&lt;&gt;"Cancelled",OR(ISNUMBER(K62),N62="Completed")),1,0)</f>
        <v>1</v>
      </c>
      <c r="Z62" s="14" t="n">
        <f aca="false">IF(AND(Y62=1,U62=1,ISNUMBER(K62)),K62-I62,"")</f>
        <v>-2</v>
      </c>
      <c r="AA62" s="14" t="str">
        <f aca="false">IF(Z62="","",IF(Z62&lt;0,"Early",IF(Z62=0,"On Time","Late")))</f>
        <v>Early</v>
      </c>
      <c r="AB62" s="14" t="n">
        <f aca="false">IF(AND(N62&lt;&gt;"Cancelled",L62&lt;=AsOf),1,0)</f>
        <v>1</v>
      </c>
      <c r="AC62" s="14" t="n">
        <f aca="false">IF(AND(N62&lt;&gt;"Cancelled",OR(ISNUMBER(M62),N62="Completed")),1,0)</f>
        <v>1</v>
      </c>
      <c r="AD62" s="14" t="n">
        <f aca="false">IF(AND(AC62=1,V62=1,ISNUMBER(M62)),M62-L62,"")</f>
        <v>-3</v>
      </c>
      <c r="AE62" s="14" t="str">
        <f aca="false">IF(AD62="","",IF(AD62&lt;0,"Early",IF(AD62=0,"On Time","Late")))</f>
        <v>Early</v>
      </c>
      <c r="AF62" s="14" t="n">
        <f aca="false">IF(AND(T62=1,ISNUMBER(J62),N62&lt;&gt;"Cancelled"),J62-B62,"")</f>
        <v>11</v>
      </c>
      <c r="AG62" s="14" t="n">
        <f aca="false">IF(AND(AF62&lt;&gt;"",Z62&lt;&gt;""),K62-J62,"")</f>
        <v>3</v>
      </c>
      <c r="AH62" s="14" t="n">
        <f aca="false">IF(AND(Z62&lt;&gt;"",AD62&lt;&gt;""),M62-K62,"")</f>
        <v>2</v>
      </c>
      <c r="AI62" s="14" t="n">
        <f aca="false">IF(Z62&lt;&gt;"",K62-B62,"")</f>
        <v>14</v>
      </c>
      <c r="AJ62" s="14" t="n">
        <f aca="false">IF(AND(N62="Completed",AD62&lt;&gt;""),M62-B62,"")</f>
        <v>16</v>
      </c>
      <c r="AK62" s="14" t="str">
        <f aca="false">IF(N62="Cancelled","Cancelled",IF(N62="Completed","Completed",IF(Y62=1,"Awaiting Installation",IF(ISNUMBER(J62),"In Transit","In Production"))))</f>
        <v>Completed</v>
      </c>
      <c r="AL62" s="18" t="n">
        <f aca="false">IF(AND(N62="Pending",OR(AND(Y62=0,I62&lt;AsOf),AND(Y62=1,L62&lt;AsOf))),1,0)</f>
        <v>0</v>
      </c>
      <c r="AM62" s="14" t="str">
        <f aca="false">IF(AL62=1,IF(Y62=0,AsOf-I62,AsOf-L62),"")</f>
        <v/>
      </c>
      <c r="AN62" s="14" t="str">
        <f aca="false">IF(AL62=1,IF(Y62=0,"Delivery","Installation"),"")</f>
        <v/>
      </c>
      <c r="AO62" s="14" t="n">
        <f aca="false">IF(AND(OR(fCat="All",F62=fCat),OR(fCust="All",D62=fCust),OR(fReg="All",E62=fReg)),1,0)</f>
        <v>1</v>
      </c>
      <c r="AP62" s="14" t="n">
        <f aca="false">IF(AND(AL62=1,AO62=1),AM62+ROW()/100000,0)</f>
        <v>0</v>
      </c>
    </row>
    <row r="63" customFormat="false" ht="15" hidden="false" customHeight="false" outlineLevel="0" collapsed="false">
      <c r="A63" s="14" t="s">
        <v>376</v>
      </c>
      <c r="B63" s="15" t="n">
        <v>46112</v>
      </c>
      <c r="C63" s="14" t="s">
        <v>346</v>
      </c>
      <c r="D63" s="14" t="s">
        <v>65</v>
      </c>
      <c r="E63" s="14" t="s">
        <v>66</v>
      </c>
      <c r="F63" s="14" t="s">
        <v>160</v>
      </c>
      <c r="G63" s="14" t="n">
        <v>2</v>
      </c>
      <c r="H63" s="16" t="n">
        <v>312000</v>
      </c>
      <c r="I63" s="15" t="n">
        <v>46126</v>
      </c>
      <c r="J63" s="15" t="n">
        <v>46117</v>
      </c>
      <c r="K63" s="15" t="n">
        <v>46123</v>
      </c>
      <c r="L63" s="15" t="n">
        <v>46129</v>
      </c>
      <c r="M63" s="15" t="n">
        <v>46195</v>
      </c>
      <c r="N63" s="14" t="s">
        <v>75</v>
      </c>
      <c r="O63" s="14"/>
      <c r="P63" s="14"/>
      <c r="Q63" s="14"/>
      <c r="R63" s="14" t="s">
        <v>134</v>
      </c>
      <c r="S63" s="14" t="s">
        <v>745</v>
      </c>
      <c r="T63" s="14" t="n">
        <v>1</v>
      </c>
      <c r="U63" s="14" t="n">
        <v>1</v>
      </c>
      <c r="V63" s="14" t="n">
        <v>1</v>
      </c>
      <c r="W63" s="17" t="n">
        <f aca="false">DATE(YEAR(B63),MONTH(B63),1)</f>
        <v>46082</v>
      </c>
      <c r="X63" s="14" t="n">
        <f aca="false">IF(AND(N63&lt;&gt;"Cancelled",I63&lt;=AsOf),1,0)</f>
        <v>1</v>
      </c>
      <c r="Y63" s="14" t="n">
        <f aca="false">IF(AND(N63&lt;&gt;"Cancelled",OR(ISNUMBER(K63),N63="Completed")),1,0)</f>
        <v>1</v>
      </c>
      <c r="Z63" s="14" t="n">
        <f aca="false">IF(AND(Y63=1,U63=1,ISNUMBER(K63)),K63-I63,"")</f>
        <v>-3</v>
      </c>
      <c r="AA63" s="14" t="str">
        <f aca="false">IF(Z63="","",IF(Z63&lt;0,"Early",IF(Z63=0,"On Time","Late")))</f>
        <v>Early</v>
      </c>
      <c r="AB63" s="14" t="n">
        <f aca="false">IF(AND(N63&lt;&gt;"Cancelled",L63&lt;=AsOf),1,0)</f>
        <v>1</v>
      </c>
      <c r="AC63" s="14" t="n">
        <f aca="false">IF(AND(N63&lt;&gt;"Cancelled",OR(ISNUMBER(M63),N63="Completed")),1,0)</f>
        <v>1</v>
      </c>
      <c r="AD63" s="14" t="n">
        <f aca="false">IF(AND(AC63=1,V63=1,ISNUMBER(M63)),M63-L63,"")</f>
        <v>66</v>
      </c>
      <c r="AE63" s="14" t="str">
        <f aca="false">IF(AD63="","",IF(AD63&lt;0,"Early",IF(AD63=0,"On Time","Late")))</f>
        <v>Late</v>
      </c>
      <c r="AF63" s="14" t="n">
        <f aca="false">IF(AND(T63=1,ISNUMBER(J63),N63&lt;&gt;"Cancelled"),J63-B63,"")</f>
        <v>5</v>
      </c>
      <c r="AG63" s="14" t="n">
        <f aca="false">IF(AND(AF63&lt;&gt;"",Z63&lt;&gt;""),K63-J63,"")</f>
        <v>6</v>
      </c>
      <c r="AH63" s="14" t="n">
        <f aca="false">IF(AND(Z63&lt;&gt;"",AD63&lt;&gt;""),M63-K63,"")</f>
        <v>72</v>
      </c>
      <c r="AI63" s="14" t="n">
        <f aca="false">IF(Z63&lt;&gt;"",K63-B63,"")</f>
        <v>11</v>
      </c>
      <c r="AJ63" s="14" t="n">
        <f aca="false">IF(AND(N63="Completed",AD63&lt;&gt;""),M63-B63,"")</f>
        <v>83</v>
      </c>
      <c r="AK63" s="14" t="str">
        <f aca="false">IF(N63="Cancelled","Cancelled",IF(N63="Completed","Completed",IF(Y63=1,"Awaiting Installation",IF(ISNUMBER(J63),"In Transit","In Production"))))</f>
        <v>Completed</v>
      </c>
      <c r="AL63" s="18" t="n">
        <f aca="false">IF(AND(N63="Pending",OR(AND(Y63=0,I63&lt;AsOf),AND(Y63=1,L63&lt;AsOf))),1,0)</f>
        <v>0</v>
      </c>
      <c r="AM63" s="14" t="str">
        <f aca="false">IF(AL63=1,IF(Y63=0,AsOf-I63,AsOf-L63),"")</f>
        <v/>
      </c>
      <c r="AN63" s="14" t="str">
        <f aca="false">IF(AL63=1,IF(Y63=0,"Delivery","Installation"),"")</f>
        <v/>
      </c>
      <c r="AO63" s="14" t="n">
        <f aca="false">IF(AND(OR(fCat="All",F63=fCat),OR(fCust="All",D63=fCust),OR(fReg="All",E63=fReg)),1,0)</f>
        <v>1</v>
      </c>
      <c r="AP63" s="14" t="n">
        <f aca="false">IF(AND(AL63=1,AO63=1),AM63+ROW()/100000,0)</f>
        <v>0</v>
      </c>
    </row>
    <row r="64" customFormat="false" ht="15" hidden="false" customHeight="false" outlineLevel="0" collapsed="false">
      <c r="A64" s="14" t="s">
        <v>379</v>
      </c>
      <c r="B64" s="15" t="n">
        <v>46115</v>
      </c>
      <c r="C64" s="14" t="s">
        <v>380</v>
      </c>
      <c r="D64" s="14" t="s">
        <v>90</v>
      </c>
      <c r="E64" s="14" t="s">
        <v>102</v>
      </c>
      <c r="F64" s="14" t="s">
        <v>150</v>
      </c>
      <c r="G64" s="14" t="n">
        <v>1</v>
      </c>
      <c r="H64" s="16" t="n">
        <v>225000</v>
      </c>
      <c r="I64" s="15" t="n">
        <v>46131</v>
      </c>
      <c r="J64" s="15" t="n">
        <v>46131</v>
      </c>
      <c r="K64" s="15" t="n">
        <v>46135</v>
      </c>
      <c r="L64" s="15" t="n">
        <v>46134</v>
      </c>
      <c r="M64" s="15" t="n">
        <v>46148</v>
      </c>
      <c r="N64" s="14" t="s">
        <v>75</v>
      </c>
      <c r="O64" s="14" t="s">
        <v>110</v>
      </c>
      <c r="P64" s="14" t="s">
        <v>183</v>
      </c>
      <c r="Q64" s="14"/>
      <c r="R64" s="14" t="s">
        <v>134</v>
      </c>
      <c r="S64" s="14" t="s">
        <v>745</v>
      </c>
      <c r="T64" s="14" t="n">
        <v>1</v>
      </c>
      <c r="U64" s="14" t="n">
        <v>1</v>
      </c>
      <c r="V64" s="14" t="n">
        <v>1</v>
      </c>
      <c r="W64" s="17" t="n">
        <f aca="false">DATE(YEAR(B64),MONTH(B64),1)</f>
        <v>46113</v>
      </c>
      <c r="X64" s="14" t="n">
        <f aca="false">IF(AND(N64&lt;&gt;"Cancelled",I64&lt;=AsOf),1,0)</f>
        <v>1</v>
      </c>
      <c r="Y64" s="14" t="n">
        <f aca="false">IF(AND(N64&lt;&gt;"Cancelled",OR(ISNUMBER(K64),N64="Completed")),1,0)</f>
        <v>1</v>
      </c>
      <c r="Z64" s="14" t="n">
        <f aca="false">IF(AND(Y64=1,U64=1,ISNUMBER(K64)),K64-I64,"")</f>
        <v>4</v>
      </c>
      <c r="AA64" s="14" t="str">
        <f aca="false">IF(Z64="","",IF(Z64&lt;0,"Early",IF(Z64=0,"On Time","Late")))</f>
        <v>Late</v>
      </c>
      <c r="AB64" s="14" t="n">
        <f aca="false">IF(AND(N64&lt;&gt;"Cancelled",L64&lt;=AsOf),1,0)</f>
        <v>1</v>
      </c>
      <c r="AC64" s="14" t="n">
        <f aca="false">IF(AND(N64&lt;&gt;"Cancelled",OR(ISNUMBER(M64),N64="Completed")),1,0)</f>
        <v>1</v>
      </c>
      <c r="AD64" s="14" t="n">
        <f aca="false">IF(AND(AC64=1,V64=1,ISNUMBER(M64)),M64-L64,"")</f>
        <v>14</v>
      </c>
      <c r="AE64" s="14" t="str">
        <f aca="false">IF(AD64="","",IF(AD64&lt;0,"Early",IF(AD64=0,"On Time","Late")))</f>
        <v>Late</v>
      </c>
      <c r="AF64" s="14" t="n">
        <f aca="false">IF(AND(T64=1,ISNUMBER(J64),N64&lt;&gt;"Cancelled"),J64-B64,"")</f>
        <v>16</v>
      </c>
      <c r="AG64" s="14" t="n">
        <f aca="false">IF(AND(AF64&lt;&gt;"",Z64&lt;&gt;""),K64-J64,"")</f>
        <v>4</v>
      </c>
      <c r="AH64" s="14" t="n">
        <f aca="false">IF(AND(Z64&lt;&gt;"",AD64&lt;&gt;""),M64-K64,"")</f>
        <v>13</v>
      </c>
      <c r="AI64" s="14" t="n">
        <f aca="false">IF(Z64&lt;&gt;"",K64-B64,"")</f>
        <v>20</v>
      </c>
      <c r="AJ64" s="14" t="n">
        <f aca="false">IF(AND(N64="Completed",AD64&lt;&gt;""),M64-B64,"")</f>
        <v>33</v>
      </c>
      <c r="AK64" s="14" t="str">
        <f aca="false">IF(N64="Cancelled","Cancelled",IF(N64="Completed","Completed",IF(Y64=1,"Awaiting Installation",IF(ISNUMBER(J64),"In Transit","In Production"))))</f>
        <v>Completed</v>
      </c>
      <c r="AL64" s="18" t="n">
        <f aca="false">IF(AND(N64="Pending",OR(AND(Y64=0,I64&lt;AsOf),AND(Y64=1,L64&lt;AsOf))),1,0)</f>
        <v>0</v>
      </c>
      <c r="AM64" s="14" t="str">
        <f aca="false">IF(AL64=1,IF(Y64=0,AsOf-I64,AsOf-L64),"")</f>
        <v/>
      </c>
      <c r="AN64" s="14" t="str">
        <f aca="false">IF(AL64=1,IF(Y64=0,"Delivery","Installation"),"")</f>
        <v/>
      </c>
      <c r="AO64" s="14" t="n">
        <f aca="false">IF(AND(OR(fCat="All",F64=fCat),OR(fCust="All",D64=fCust),OR(fReg="All",E64=fReg)),1,0)</f>
        <v>1</v>
      </c>
      <c r="AP64" s="14" t="n">
        <f aca="false">IF(AND(AL64=1,AO64=1),AM64+ROW()/100000,0)</f>
        <v>0</v>
      </c>
    </row>
    <row r="65" customFormat="false" ht="15" hidden="false" customHeight="false" outlineLevel="0" collapsed="false">
      <c r="A65" s="14" t="s">
        <v>384</v>
      </c>
      <c r="B65" s="15" t="n">
        <v>46116</v>
      </c>
      <c r="C65" s="14" t="s">
        <v>385</v>
      </c>
      <c r="D65" s="14" t="s">
        <v>149</v>
      </c>
      <c r="E65" s="14" t="s">
        <v>91</v>
      </c>
      <c r="F65" s="14" t="s">
        <v>160</v>
      </c>
      <c r="G65" s="14" t="n">
        <v>1</v>
      </c>
      <c r="H65" s="16" t="n">
        <v>208000</v>
      </c>
      <c r="I65" s="15" t="n">
        <v>46126</v>
      </c>
      <c r="J65" s="15" t="n">
        <v>46123</v>
      </c>
      <c r="K65" s="15" t="n">
        <v>46125</v>
      </c>
      <c r="L65" s="15" t="n">
        <v>46129</v>
      </c>
      <c r="M65" s="15" t="n">
        <v>46127</v>
      </c>
      <c r="N65" s="14" t="s">
        <v>75</v>
      </c>
      <c r="O65" s="14"/>
      <c r="P65" s="14"/>
      <c r="Q65" s="14"/>
      <c r="R65" s="14"/>
      <c r="S65" s="14" t="s">
        <v>745</v>
      </c>
      <c r="T65" s="14" t="n">
        <v>1</v>
      </c>
      <c r="U65" s="14" t="n">
        <v>1</v>
      </c>
      <c r="V65" s="14" t="n">
        <v>1</v>
      </c>
      <c r="W65" s="17" t="n">
        <f aca="false">DATE(YEAR(B65),MONTH(B65),1)</f>
        <v>46113</v>
      </c>
      <c r="X65" s="14" t="n">
        <f aca="false">IF(AND(N65&lt;&gt;"Cancelled",I65&lt;=AsOf),1,0)</f>
        <v>1</v>
      </c>
      <c r="Y65" s="14" t="n">
        <f aca="false">IF(AND(N65&lt;&gt;"Cancelled",OR(ISNUMBER(K65),N65="Completed")),1,0)</f>
        <v>1</v>
      </c>
      <c r="Z65" s="14" t="n">
        <f aca="false">IF(AND(Y65=1,U65=1,ISNUMBER(K65)),K65-I65,"")</f>
        <v>-1</v>
      </c>
      <c r="AA65" s="14" t="str">
        <f aca="false">IF(Z65="","",IF(Z65&lt;0,"Early",IF(Z65=0,"On Time","Late")))</f>
        <v>Early</v>
      </c>
      <c r="AB65" s="14" t="n">
        <f aca="false">IF(AND(N65&lt;&gt;"Cancelled",L65&lt;=AsOf),1,0)</f>
        <v>1</v>
      </c>
      <c r="AC65" s="14" t="n">
        <f aca="false">IF(AND(N65&lt;&gt;"Cancelled",OR(ISNUMBER(M65),N65="Completed")),1,0)</f>
        <v>1</v>
      </c>
      <c r="AD65" s="14" t="n">
        <f aca="false">IF(AND(AC65=1,V65=1,ISNUMBER(M65)),M65-L65,"")</f>
        <v>-2</v>
      </c>
      <c r="AE65" s="14" t="str">
        <f aca="false">IF(AD65="","",IF(AD65&lt;0,"Early",IF(AD65=0,"On Time","Late")))</f>
        <v>Early</v>
      </c>
      <c r="AF65" s="14" t="n">
        <f aca="false">IF(AND(T65=1,ISNUMBER(J65),N65&lt;&gt;"Cancelled"),J65-B65,"")</f>
        <v>7</v>
      </c>
      <c r="AG65" s="14" t="n">
        <f aca="false">IF(AND(AF65&lt;&gt;"",Z65&lt;&gt;""),K65-J65,"")</f>
        <v>2</v>
      </c>
      <c r="AH65" s="14" t="n">
        <f aca="false">IF(AND(Z65&lt;&gt;"",AD65&lt;&gt;""),M65-K65,"")</f>
        <v>2</v>
      </c>
      <c r="AI65" s="14" t="n">
        <f aca="false">IF(Z65&lt;&gt;"",K65-B65,"")</f>
        <v>9</v>
      </c>
      <c r="AJ65" s="14" t="n">
        <f aca="false">IF(AND(N65="Completed",AD65&lt;&gt;""),M65-B65,"")</f>
        <v>11</v>
      </c>
      <c r="AK65" s="14" t="str">
        <f aca="false">IF(N65="Cancelled","Cancelled",IF(N65="Completed","Completed",IF(Y65=1,"Awaiting Installation",IF(ISNUMBER(J65),"In Transit","In Production"))))</f>
        <v>Completed</v>
      </c>
      <c r="AL65" s="18" t="n">
        <f aca="false">IF(AND(N65="Pending",OR(AND(Y65=0,I65&lt;AsOf),AND(Y65=1,L65&lt;AsOf))),1,0)</f>
        <v>0</v>
      </c>
      <c r="AM65" s="14" t="str">
        <f aca="false">IF(AL65=1,IF(Y65=0,AsOf-I65,AsOf-L65),"")</f>
        <v/>
      </c>
      <c r="AN65" s="14" t="str">
        <f aca="false">IF(AL65=1,IF(Y65=0,"Delivery","Installation"),"")</f>
        <v/>
      </c>
      <c r="AO65" s="14" t="n">
        <f aca="false">IF(AND(OR(fCat="All",F65=fCat),OR(fCust="All",D65=fCust),OR(fReg="All",E65=fReg)),1,0)</f>
        <v>1</v>
      </c>
      <c r="AP65" s="14" t="n">
        <f aca="false">IF(AND(AL65=1,AO65=1),AM65+ROW()/100000,0)</f>
        <v>0</v>
      </c>
    </row>
    <row r="66" customFormat="false" ht="15" hidden="false" customHeight="false" outlineLevel="0" collapsed="false">
      <c r="A66" s="14" t="s">
        <v>387</v>
      </c>
      <c r="B66" s="15" t="n">
        <v>46116</v>
      </c>
      <c r="C66" s="14" t="s">
        <v>388</v>
      </c>
      <c r="D66" s="14" t="s">
        <v>90</v>
      </c>
      <c r="E66" s="14" t="s">
        <v>91</v>
      </c>
      <c r="F66" s="14" t="s">
        <v>67</v>
      </c>
      <c r="G66" s="14" t="n">
        <v>4</v>
      </c>
      <c r="H66" s="16" t="n">
        <v>1348000</v>
      </c>
      <c r="I66" s="15" t="n">
        <v>46134</v>
      </c>
      <c r="J66" s="15" t="n">
        <v>46130</v>
      </c>
      <c r="K66" s="15" t="n">
        <v>46131</v>
      </c>
      <c r="L66" s="15" t="n">
        <v>46139</v>
      </c>
      <c r="M66" s="15" t="n">
        <v>46172</v>
      </c>
      <c r="N66" s="14" t="s">
        <v>75</v>
      </c>
      <c r="O66" s="14"/>
      <c r="P66" s="14" t="s">
        <v>183</v>
      </c>
      <c r="Q66" s="14"/>
      <c r="R66" s="14"/>
      <c r="S66" s="14" t="s">
        <v>745</v>
      </c>
      <c r="T66" s="14" t="n">
        <v>1</v>
      </c>
      <c r="U66" s="14" t="n">
        <v>1</v>
      </c>
      <c r="V66" s="14" t="n">
        <v>1</v>
      </c>
      <c r="W66" s="17" t="n">
        <f aca="false">DATE(YEAR(B66),MONTH(B66),1)</f>
        <v>46113</v>
      </c>
      <c r="X66" s="14" t="n">
        <f aca="false">IF(AND(N66&lt;&gt;"Cancelled",I66&lt;=AsOf),1,0)</f>
        <v>1</v>
      </c>
      <c r="Y66" s="14" t="n">
        <f aca="false">IF(AND(N66&lt;&gt;"Cancelled",OR(ISNUMBER(K66),N66="Completed")),1,0)</f>
        <v>1</v>
      </c>
      <c r="Z66" s="14" t="n">
        <f aca="false">IF(AND(Y66=1,U66=1,ISNUMBER(K66)),K66-I66,"")</f>
        <v>-3</v>
      </c>
      <c r="AA66" s="14" t="str">
        <f aca="false">IF(Z66="","",IF(Z66&lt;0,"Early",IF(Z66=0,"On Time","Late")))</f>
        <v>Early</v>
      </c>
      <c r="AB66" s="14" t="n">
        <f aca="false">IF(AND(N66&lt;&gt;"Cancelled",L66&lt;=AsOf),1,0)</f>
        <v>1</v>
      </c>
      <c r="AC66" s="14" t="n">
        <f aca="false">IF(AND(N66&lt;&gt;"Cancelled",OR(ISNUMBER(M66),N66="Completed")),1,0)</f>
        <v>1</v>
      </c>
      <c r="AD66" s="14" t="n">
        <f aca="false">IF(AND(AC66=1,V66=1,ISNUMBER(M66)),M66-L66,"")</f>
        <v>33</v>
      </c>
      <c r="AE66" s="14" t="str">
        <f aca="false">IF(AD66="","",IF(AD66&lt;0,"Early",IF(AD66=0,"On Time","Late")))</f>
        <v>Late</v>
      </c>
      <c r="AF66" s="14" t="n">
        <f aca="false">IF(AND(T66=1,ISNUMBER(J66),N66&lt;&gt;"Cancelled"),J66-B66,"")</f>
        <v>14</v>
      </c>
      <c r="AG66" s="14" t="n">
        <f aca="false">IF(AND(AF66&lt;&gt;"",Z66&lt;&gt;""),K66-J66,"")</f>
        <v>1</v>
      </c>
      <c r="AH66" s="14" t="n">
        <f aca="false">IF(AND(Z66&lt;&gt;"",AD66&lt;&gt;""),M66-K66,"")</f>
        <v>41</v>
      </c>
      <c r="AI66" s="14" t="n">
        <f aca="false">IF(Z66&lt;&gt;"",K66-B66,"")</f>
        <v>15</v>
      </c>
      <c r="AJ66" s="14" t="n">
        <f aca="false">IF(AND(N66="Completed",AD66&lt;&gt;""),M66-B66,"")</f>
        <v>56</v>
      </c>
      <c r="AK66" s="14" t="str">
        <f aca="false">IF(N66="Cancelled","Cancelled",IF(N66="Completed","Completed",IF(Y66=1,"Awaiting Installation",IF(ISNUMBER(J66),"In Transit","In Production"))))</f>
        <v>Completed</v>
      </c>
      <c r="AL66" s="18" t="n">
        <f aca="false">IF(AND(N66="Pending",OR(AND(Y66=0,I66&lt;AsOf),AND(Y66=1,L66&lt;AsOf))),1,0)</f>
        <v>0</v>
      </c>
      <c r="AM66" s="14" t="str">
        <f aca="false">IF(AL66=1,IF(Y66=0,AsOf-I66,AsOf-L66),"")</f>
        <v/>
      </c>
      <c r="AN66" s="14" t="str">
        <f aca="false">IF(AL66=1,IF(Y66=0,"Delivery","Installation"),"")</f>
        <v/>
      </c>
      <c r="AO66" s="14" t="n">
        <f aca="false">IF(AND(OR(fCat="All",F66=fCat),OR(fCust="All",D66=fCust),OR(fReg="All",E66=fReg)),1,0)</f>
        <v>1</v>
      </c>
      <c r="AP66" s="14" t="n">
        <f aca="false">IF(AND(AL66=1,AO66=1),AM66+ROW()/100000,0)</f>
        <v>0</v>
      </c>
    </row>
    <row r="67" customFormat="false" ht="15" hidden="false" customHeight="false" outlineLevel="0" collapsed="false">
      <c r="A67" s="14" t="s">
        <v>391</v>
      </c>
      <c r="B67" s="15" t="n">
        <v>46117</v>
      </c>
      <c r="C67" s="14" t="s">
        <v>392</v>
      </c>
      <c r="D67" s="14" t="s">
        <v>65</v>
      </c>
      <c r="E67" s="14" t="s">
        <v>91</v>
      </c>
      <c r="F67" s="14" t="s">
        <v>67</v>
      </c>
      <c r="G67" s="14" t="n">
        <v>4</v>
      </c>
      <c r="H67" s="16" t="n">
        <v>1476000</v>
      </c>
      <c r="I67" s="15" t="n">
        <v>46135</v>
      </c>
      <c r="J67" s="15" t="n">
        <v>46135</v>
      </c>
      <c r="K67" s="15" t="n">
        <v>46136</v>
      </c>
      <c r="L67" s="15" t="n">
        <v>46140</v>
      </c>
      <c r="M67" s="15" t="n">
        <v>46139</v>
      </c>
      <c r="N67" s="14" t="s">
        <v>75</v>
      </c>
      <c r="O67" s="14" t="s">
        <v>110</v>
      </c>
      <c r="P67" s="14"/>
      <c r="Q67" s="14"/>
      <c r="R67" s="14"/>
      <c r="S67" s="14" t="s">
        <v>745</v>
      </c>
      <c r="T67" s="14" t="n">
        <v>1</v>
      </c>
      <c r="U67" s="14" t="n">
        <v>1</v>
      </c>
      <c r="V67" s="14" t="n">
        <v>1</v>
      </c>
      <c r="W67" s="17" t="n">
        <f aca="false">DATE(YEAR(B67),MONTH(B67),1)</f>
        <v>46113</v>
      </c>
      <c r="X67" s="14" t="n">
        <f aca="false">IF(AND(N67&lt;&gt;"Cancelled",I67&lt;=AsOf),1,0)</f>
        <v>1</v>
      </c>
      <c r="Y67" s="14" t="n">
        <f aca="false">IF(AND(N67&lt;&gt;"Cancelled",OR(ISNUMBER(K67),N67="Completed")),1,0)</f>
        <v>1</v>
      </c>
      <c r="Z67" s="14" t="n">
        <f aca="false">IF(AND(Y67=1,U67=1,ISNUMBER(K67)),K67-I67,"")</f>
        <v>1</v>
      </c>
      <c r="AA67" s="14" t="str">
        <f aca="false">IF(Z67="","",IF(Z67&lt;0,"Early",IF(Z67=0,"On Time","Late")))</f>
        <v>Late</v>
      </c>
      <c r="AB67" s="14" t="n">
        <f aca="false">IF(AND(N67&lt;&gt;"Cancelled",L67&lt;=AsOf),1,0)</f>
        <v>1</v>
      </c>
      <c r="AC67" s="14" t="n">
        <f aca="false">IF(AND(N67&lt;&gt;"Cancelled",OR(ISNUMBER(M67),N67="Completed")),1,0)</f>
        <v>1</v>
      </c>
      <c r="AD67" s="14" t="n">
        <f aca="false">IF(AND(AC67=1,V67=1,ISNUMBER(M67)),M67-L67,"")</f>
        <v>-1</v>
      </c>
      <c r="AE67" s="14" t="str">
        <f aca="false">IF(AD67="","",IF(AD67&lt;0,"Early",IF(AD67=0,"On Time","Late")))</f>
        <v>Early</v>
      </c>
      <c r="AF67" s="14" t="n">
        <f aca="false">IF(AND(T67=1,ISNUMBER(J67),N67&lt;&gt;"Cancelled"),J67-B67,"")</f>
        <v>18</v>
      </c>
      <c r="AG67" s="14" t="n">
        <f aca="false">IF(AND(AF67&lt;&gt;"",Z67&lt;&gt;""),K67-J67,"")</f>
        <v>1</v>
      </c>
      <c r="AH67" s="14" t="n">
        <f aca="false">IF(AND(Z67&lt;&gt;"",AD67&lt;&gt;""),M67-K67,"")</f>
        <v>3</v>
      </c>
      <c r="AI67" s="14" t="n">
        <f aca="false">IF(Z67&lt;&gt;"",K67-B67,"")</f>
        <v>19</v>
      </c>
      <c r="AJ67" s="14" t="n">
        <f aca="false">IF(AND(N67="Completed",AD67&lt;&gt;""),M67-B67,"")</f>
        <v>22</v>
      </c>
      <c r="AK67" s="14" t="str">
        <f aca="false">IF(N67="Cancelled","Cancelled",IF(N67="Completed","Completed",IF(Y67=1,"Awaiting Installation",IF(ISNUMBER(J67),"In Transit","In Production"))))</f>
        <v>Completed</v>
      </c>
      <c r="AL67" s="18" t="n">
        <f aca="false">IF(AND(N67="Pending",OR(AND(Y67=0,I67&lt;AsOf),AND(Y67=1,L67&lt;AsOf))),1,0)</f>
        <v>0</v>
      </c>
      <c r="AM67" s="14" t="str">
        <f aca="false">IF(AL67=1,IF(Y67=0,AsOf-I67,AsOf-L67),"")</f>
        <v/>
      </c>
      <c r="AN67" s="14" t="str">
        <f aca="false">IF(AL67=1,IF(Y67=0,"Delivery","Installation"),"")</f>
        <v/>
      </c>
      <c r="AO67" s="14" t="n">
        <f aca="false">IF(AND(OR(fCat="All",F67=fCat),OR(fCust="All",D67=fCust),OR(fReg="All",E67=fReg)),1,0)</f>
        <v>1</v>
      </c>
      <c r="AP67" s="14" t="n">
        <f aca="false">IF(AND(AL67=1,AO67=1),AM67+ROW()/100000,0)</f>
        <v>0</v>
      </c>
    </row>
    <row r="68" customFormat="false" ht="15" hidden="false" customHeight="false" outlineLevel="0" collapsed="false">
      <c r="A68" s="14" t="s">
        <v>396</v>
      </c>
      <c r="B68" s="15" t="n">
        <v>46117</v>
      </c>
      <c r="C68" s="14" t="s">
        <v>397</v>
      </c>
      <c r="D68" s="14" t="s">
        <v>90</v>
      </c>
      <c r="E68" s="14" t="s">
        <v>66</v>
      </c>
      <c r="F68" s="14" t="s">
        <v>67</v>
      </c>
      <c r="G68" s="14" t="n">
        <v>2</v>
      </c>
      <c r="H68" s="16" t="n">
        <v>1190000</v>
      </c>
      <c r="I68" s="15" t="n">
        <v>46139</v>
      </c>
      <c r="J68" s="15" t="n">
        <v>46131</v>
      </c>
      <c r="K68" s="15" t="n">
        <v>46138</v>
      </c>
      <c r="L68" s="15" t="n">
        <v>46144</v>
      </c>
      <c r="M68" s="15" t="n">
        <v>46143</v>
      </c>
      <c r="N68" s="14" t="s">
        <v>75</v>
      </c>
      <c r="O68" s="14"/>
      <c r="P68" s="14"/>
      <c r="Q68" s="14"/>
      <c r="R68" s="14" t="s">
        <v>226</v>
      </c>
      <c r="S68" s="14" t="s">
        <v>745</v>
      </c>
      <c r="T68" s="14" t="n">
        <v>1</v>
      </c>
      <c r="U68" s="14" t="n">
        <v>1</v>
      </c>
      <c r="V68" s="14" t="n">
        <v>1</v>
      </c>
      <c r="W68" s="17" t="n">
        <f aca="false">DATE(YEAR(B68),MONTH(B68),1)</f>
        <v>46113</v>
      </c>
      <c r="X68" s="14" t="n">
        <f aca="false">IF(AND(N68&lt;&gt;"Cancelled",I68&lt;=AsOf),1,0)</f>
        <v>1</v>
      </c>
      <c r="Y68" s="14" t="n">
        <f aca="false">IF(AND(N68&lt;&gt;"Cancelled",OR(ISNUMBER(K68),N68="Completed")),1,0)</f>
        <v>1</v>
      </c>
      <c r="Z68" s="14" t="n">
        <f aca="false">IF(AND(Y68=1,U68=1,ISNUMBER(K68)),K68-I68,"")</f>
        <v>-1</v>
      </c>
      <c r="AA68" s="14" t="str">
        <f aca="false">IF(Z68="","",IF(Z68&lt;0,"Early",IF(Z68=0,"On Time","Late")))</f>
        <v>Early</v>
      </c>
      <c r="AB68" s="14" t="n">
        <f aca="false">IF(AND(N68&lt;&gt;"Cancelled",L68&lt;=AsOf),1,0)</f>
        <v>1</v>
      </c>
      <c r="AC68" s="14" t="n">
        <f aca="false">IF(AND(N68&lt;&gt;"Cancelled",OR(ISNUMBER(M68),N68="Completed")),1,0)</f>
        <v>1</v>
      </c>
      <c r="AD68" s="14" t="n">
        <f aca="false">IF(AND(AC68=1,V68=1,ISNUMBER(M68)),M68-L68,"")</f>
        <v>-1</v>
      </c>
      <c r="AE68" s="14" t="str">
        <f aca="false">IF(AD68="","",IF(AD68&lt;0,"Early",IF(AD68=0,"On Time","Late")))</f>
        <v>Early</v>
      </c>
      <c r="AF68" s="14" t="n">
        <f aca="false">IF(AND(T68=1,ISNUMBER(J68),N68&lt;&gt;"Cancelled"),J68-B68,"")</f>
        <v>14</v>
      </c>
      <c r="AG68" s="14" t="n">
        <f aca="false">IF(AND(AF68&lt;&gt;"",Z68&lt;&gt;""),K68-J68,"")</f>
        <v>7</v>
      </c>
      <c r="AH68" s="14" t="n">
        <f aca="false">IF(AND(Z68&lt;&gt;"",AD68&lt;&gt;""),M68-K68,"")</f>
        <v>5</v>
      </c>
      <c r="AI68" s="14" t="n">
        <f aca="false">IF(Z68&lt;&gt;"",K68-B68,"")</f>
        <v>21</v>
      </c>
      <c r="AJ68" s="14" t="n">
        <f aca="false">IF(AND(N68="Completed",AD68&lt;&gt;""),M68-B68,"")</f>
        <v>26</v>
      </c>
      <c r="AK68" s="14" t="str">
        <f aca="false">IF(N68="Cancelled","Cancelled",IF(N68="Completed","Completed",IF(Y68=1,"Awaiting Installation",IF(ISNUMBER(J68),"In Transit","In Production"))))</f>
        <v>Completed</v>
      </c>
      <c r="AL68" s="18" t="n">
        <f aca="false">IF(AND(N68="Pending",OR(AND(Y68=0,I68&lt;AsOf),AND(Y68=1,L68&lt;AsOf))),1,0)</f>
        <v>0</v>
      </c>
      <c r="AM68" s="14" t="str">
        <f aca="false">IF(AL68=1,IF(Y68=0,AsOf-I68,AsOf-L68),"")</f>
        <v/>
      </c>
      <c r="AN68" s="14" t="str">
        <f aca="false">IF(AL68=1,IF(Y68=0,"Delivery","Installation"),"")</f>
        <v/>
      </c>
      <c r="AO68" s="14" t="n">
        <f aca="false">IF(AND(OR(fCat="All",F68=fCat),OR(fCust="All",D68=fCust),OR(fReg="All",E68=fReg)),1,0)</f>
        <v>1</v>
      </c>
      <c r="AP68" s="14" t="n">
        <f aca="false">IF(AND(AL68=1,AO68=1),AM68+ROW()/100000,0)</f>
        <v>0</v>
      </c>
    </row>
    <row r="69" customFormat="false" ht="15" hidden="false" customHeight="false" outlineLevel="0" collapsed="false">
      <c r="A69" s="14" t="s">
        <v>401</v>
      </c>
      <c r="B69" s="15" t="n">
        <v>46120</v>
      </c>
      <c r="C69" s="14" t="s">
        <v>144</v>
      </c>
      <c r="D69" s="14" t="s">
        <v>149</v>
      </c>
      <c r="E69" s="14" t="s">
        <v>91</v>
      </c>
      <c r="F69" s="14" t="s">
        <v>160</v>
      </c>
      <c r="G69" s="14" t="n">
        <v>1</v>
      </c>
      <c r="H69" s="16" t="n">
        <v>213000</v>
      </c>
      <c r="I69" s="15" t="n">
        <v>46130</v>
      </c>
      <c r="J69" s="15" t="n">
        <v>46123</v>
      </c>
      <c r="K69" s="15"/>
      <c r="L69" s="15" t="n">
        <v>46133</v>
      </c>
      <c r="M69" s="15"/>
      <c r="N69" s="14" t="s">
        <v>188</v>
      </c>
      <c r="O69" s="14"/>
      <c r="P69" s="14"/>
      <c r="Q69" s="14" t="s">
        <v>220</v>
      </c>
      <c r="R69" s="14"/>
      <c r="S69" s="14" t="s">
        <v>745</v>
      </c>
      <c r="T69" s="14" t="n">
        <v>1</v>
      </c>
      <c r="U69" s="14" t="n">
        <v>1</v>
      </c>
      <c r="V69" s="14" t="n">
        <v>1</v>
      </c>
      <c r="W69" s="17" t="n">
        <f aca="false">DATE(YEAR(B69),MONTH(B69),1)</f>
        <v>46113</v>
      </c>
      <c r="X69" s="14" t="n">
        <f aca="false">IF(AND(N69&lt;&gt;"Cancelled",I69&lt;=AsOf),1,0)</f>
        <v>0</v>
      </c>
      <c r="Y69" s="14" t="n">
        <f aca="false">IF(AND(N69&lt;&gt;"Cancelled",OR(ISNUMBER(K69),N69="Completed")),1,0)</f>
        <v>0</v>
      </c>
      <c r="Z69" s="14" t="str">
        <f aca="false">IF(AND(Y69=1,U69=1,ISNUMBER(K69)),K69-I69,"")</f>
        <v/>
      </c>
      <c r="AA69" s="14" t="str">
        <f aca="false">IF(Z69="","",IF(Z69&lt;0,"Early",IF(Z69=0,"On Time","Late")))</f>
        <v/>
      </c>
      <c r="AB69" s="14" t="n">
        <f aca="false">IF(AND(N69&lt;&gt;"Cancelled",L69&lt;=AsOf),1,0)</f>
        <v>0</v>
      </c>
      <c r="AC69" s="14" t="n">
        <f aca="false">IF(AND(N69&lt;&gt;"Cancelled",OR(ISNUMBER(M69),N69="Completed")),1,0)</f>
        <v>0</v>
      </c>
      <c r="AD69" s="14" t="str">
        <f aca="false">IF(AND(AC69=1,V69=1,ISNUMBER(M69)),M69-L69,"")</f>
        <v/>
      </c>
      <c r="AE69" s="14" t="str">
        <f aca="false">IF(AD69="","",IF(AD69&lt;0,"Early",IF(AD69=0,"On Time","Late")))</f>
        <v/>
      </c>
      <c r="AF69" s="14" t="str">
        <f aca="false">IF(AND(T69=1,ISNUMBER(J69),N69&lt;&gt;"Cancelled"),J69-B69,"")</f>
        <v/>
      </c>
      <c r="AG69" s="14" t="str">
        <f aca="false">IF(AND(AF69&lt;&gt;"",Z69&lt;&gt;""),K69-J69,"")</f>
        <v/>
      </c>
      <c r="AH69" s="14" t="str">
        <f aca="false">IF(AND(Z69&lt;&gt;"",AD69&lt;&gt;""),M69-K69,"")</f>
        <v/>
      </c>
      <c r="AI69" s="14" t="str">
        <f aca="false">IF(Z69&lt;&gt;"",K69-B69,"")</f>
        <v/>
      </c>
      <c r="AJ69" s="14" t="str">
        <f aca="false">IF(AND(N69="Completed",AD69&lt;&gt;""),M69-B69,"")</f>
        <v/>
      </c>
      <c r="AK69" s="14" t="str">
        <f aca="false">IF(N69="Cancelled","Cancelled",IF(N69="Completed","Completed",IF(Y69=1,"Awaiting Installation",IF(ISNUMBER(J69),"In Transit","In Production"))))</f>
        <v>Cancelled</v>
      </c>
      <c r="AL69" s="18" t="n">
        <f aca="false">IF(AND(N69="Pending",OR(AND(Y69=0,I69&lt;AsOf),AND(Y69=1,L69&lt;AsOf))),1,0)</f>
        <v>0</v>
      </c>
      <c r="AM69" s="14" t="str">
        <f aca="false">IF(AL69=1,IF(Y69=0,AsOf-I69,AsOf-L69),"")</f>
        <v/>
      </c>
      <c r="AN69" s="14" t="str">
        <f aca="false">IF(AL69=1,IF(Y69=0,"Delivery","Installation"),"")</f>
        <v/>
      </c>
      <c r="AO69" s="14" t="n">
        <f aca="false">IF(AND(OR(fCat="All",F69=fCat),OR(fCust="All",D69=fCust),OR(fReg="All",E69=fReg)),1,0)</f>
        <v>1</v>
      </c>
      <c r="AP69" s="14" t="n">
        <f aca="false">IF(AND(AL69=1,AO69=1),AM69+ROW()/100000,0)</f>
        <v>0</v>
      </c>
    </row>
    <row r="70" customFormat="false" ht="15" hidden="false" customHeight="false" outlineLevel="0" collapsed="false">
      <c r="A70" s="14" t="s">
        <v>404</v>
      </c>
      <c r="B70" s="15" t="n">
        <v>46120</v>
      </c>
      <c r="C70" s="14" t="s">
        <v>405</v>
      </c>
      <c r="D70" s="14" t="s">
        <v>149</v>
      </c>
      <c r="E70" s="14" t="s">
        <v>66</v>
      </c>
      <c r="F70" s="14" t="s">
        <v>160</v>
      </c>
      <c r="G70" s="14" t="n">
        <v>1</v>
      </c>
      <c r="H70" s="16" t="n">
        <v>175000</v>
      </c>
      <c r="I70" s="15" t="n">
        <v>46134</v>
      </c>
      <c r="J70" s="15" t="n">
        <v>46128</v>
      </c>
      <c r="K70" s="15" t="n">
        <v>46136</v>
      </c>
      <c r="L70" s="15" t="n">
        <v>46137</v>
      </c>
      <c r="M70" s="15"/>
      <c r="N70" s="14" t="s">
        <v>328</v>
      </c>
      <c r="O70" s="14"/>
      <c r="P70" s="14" t="s">
        <v>183</v>
      </c>
      <c r="Q70" s="14"/>
      <c r="R70" s="14" t="s">
        <v>366</v>
      </c>
      <c r="S70" s="14" t="s">
        <v>745</v>
      </c>
      <c r="T70" s="14" t="n">
        <v>1</v>
      </c>
      <c r="U70" s="14" t="n">
        <v>1</v>
      </c>
      <c r="V70" s="14" t="n">
        <v>1</v>
      </c>
      <c r="W70" s="17" t="n">
        <f aca="false">DATE(YEAR(B70),MONTH(B70),1)</f>
        <v>46113</v>
      </c>
      <c r="X70" s="14" t="n">
        <f aca="false">IF(AND(N70&lt;&gt;"Cancelled",I70&lt;=AsOf),1,0)</f>
        <v>1</v>
      </c>
      <c r="Y70" s="14" t="n">
        <f aca="false">IF(AND(N70&lt;&gt;"Cancelled",OR(ISNUMBER(K70),N70="Completed")),1,0)</f>
        <v>1</v>
      </c>
      <c r="Z70" s="14" t="n">
        <f aca="false">IF(AND(Y70=1,U70=1,ISNUMBER(K70)),K70-I70,"")</f>
        <v>2</v>
      </c>
      <c r="AA70" s="14" t="str">
        <f aca="false">IF(Z70="","",IF(Z70&lt;0,"Early",IF(Z70=0,"On Time","Late")))</f>
        <v>Late</v>
      </c>
      <c r="AB70" s="14" t="n">
        <f aca="false">IF(AND(N70&lt;&gt;"Cancelled",L70&lt;=AsOf),1,0)</f>
        <v>1</v>
      </c>
      <c r="AC70" s="14" t="n">
        <f aca="false">IF(AND(N70&lt;&gt;"Cancelled",OR(ISNUMBER(M70),N70="Completed")),1,0)</f>
        <v>0</v>
      </c>
      <c r="AD70" s="14" t="str">
        <f aca="false">IF(AND(AC70=1,V70=1,ISNUMBER(M70)),M70-L70,"")</f>
        <v/>
      </c>
      <c r="AE70" s="14" t="str">
        <f aca="false">IF(AD70="","",IF(AD70&lt;0,"Early",IF(AD70=0,"On Time","Late")))</f>
        <v/>
      </c>
      <c r="AF70" s="14" t="n">
        <f aca="false">IF(AND(T70=1,ISNUMBER(J70),N70&lt;&gt;"Cancelled"),J70-B70,"")</f>
        <v>8</v>
      </c>
      <c r="AG70" s="14" t="n">
        <f aca="false">IF(AND(AF70&lt;&gt;"",Z70&lt;&gt;""),K70-J70,"")</f>
        <v>8</v>
      </c>
      <c r="AH70" s="14" t="str">
        <f aca="false">IF(AND(Z70&lt;&gt;"",AD70&lt;&gt;""),M70-K70,"")</f>
        <v/>
      </c>
      <c r="AI70" s="14" t="n">
        <f aca="false">IF(Z70&lt;&gt;"",K70-B70,"")</f>
        <v>16</v>
      </c>
      <c r="AJ70" s="14" t="str">
        <f aca="false">IF(AND(N70="Completed",AD70&lt;&gt;""),M70-B70,"")</f>
        <v/>
      </c>
      <c r="AK70" s="14" t="str">
        <f aca="false">IF(N70="Cancelled","Cancelled",IF(N70="Completed","Completed",IF(Y70=1,"Awaiting Installation",IF(ISNUMBER(J70),"In Transit","In Production"))))</f>
        <v>Awaiting Installation</v>
      </c>
      <c r="AL70" s="18" t="n">
        <f aca="false">IF(AND(N70="Pending",OR(AND(Y70=0,I70&lt;AsOf),AND(Y70=1,L70&lt;AsOf))),1,0)</f>
        <v>1</v>
      </c>
      <c r="AM70" s="14" t="n">
        <f aca="false">IF(AL70=1,IF(Y70=0,AsOf-I70,AsOf-L70),"")</f>
        <v>66</v>
      </c>
      <c r="AN70" s="14" t="str">
        <f aca="false">IF(AL70=1,IF(Y70=0,"Delivery","Installation"),"")</f>
        <v>Installation</v>
      </c>
      <c r="AO70" s="14" t="n">
        <f aca="false">IF(AND(OR(fCat="All",F70=fCat),OR(fCust="All",D70=fCust),OR(fReg="All",E70=fReg)),1,0)</f>
        <v>1</v>
      </c>
      <c r="AP70" s="14" t="n">
        <f aca="false">IF(AND(AL70=1,AO70=1),AM70+ROW()/100000,0)</f>
        <v>66.0007</v>
      </c>
    </row>
    <row r="71" customFormat="false" ht="15" hidden="false" customHeight="false" outlineLevel="0" collapsed="false">
      <c r="A71" s="14" t="s">
        <v>409</v>
      </c>
      <c r="B71" s="15" t="n">
        <v>46121</v>
      </c>
      <c r="C71" s="14" t="s">
        <v>410</v>
      </c>
      <c r="D71" s="14" t="s">
        <v>65</v>
      </c>
      <c r="E71" s="14" t="s">
        <v>102</v>
      </c>
      <c r="F71" s="14" t="s">
        <v>67</v>
      </c>
      <c r="G71" s="14" t="n">
        <v>1</v>
      </c>
      <c r="H71" s="16" t="n">
        <v>433000</v>
      </c>
      <c r="I71" s="15" t="n">
        <v>46141</v>
      </c>
      <c r="J71" s="15" t="n">
        <v>46132</v>
      </c>
      <c r="K71" s="15" t="n">
        <v>46135</v>
      </c>
      <c r="L71" s="15" t="n">
        <v>46146</v>
      </c>
      <c r="M71" s="15" t="n">
        <v>46145</v>
      </c>
      <c r="N71" s="14" t="s">
        <v>75</v>
      </c>
      <c r="O71" s="14"/>
      <c r="P71" s="14"/>
      <c r="Q71" s="14"/>
      <c r="R71" s="14" t="s">
        <v>98</v>
      </c>
      <c r="S71" s="14" t="s">
        <v>745</v>
      </c>
      <c r="T71" s="14" t="n">
        <v>1</v>
      </c>
      <c r="U71" s="14" t="n">
        <v>1</v>
      </c>
      <c r="V71" s="14" t="n">
        <v>1</v>
      </c>
      <c r="W71" s="17" t="n">
        <f aca="false">DATE(YEAR(B71),MONTH(B71),1)</f>
        <v>46113</v>
      </c>
      <c r="X71" s="14" t="n">
        <f aca="false">IF(AND(N71&lt;&gt;"Cancelled",I71&lt;=AsOf),1,0)</f>
        <v>1</v>
      </c>
      <c r="Y71" s="14" t="n">
        <f aca="false">IF(AND(N71&lt;&gt;"Cancelled",OR(ISNUMBER(K71),N71="Completed")),1,0)</f>
        <v>1</v>
      </c>
      <c r="Z71" s="14" t="n">
        <f aca="false">IF(AND(Y71=1,U71=1,ISNUMBER(K71)),K71-I71,"")</f>
        <v>-6</v>
      </c>
      <c r="AA71" s="14" t="str">
        <f aca="false">IF(Z71="","",IF(Z71&lt;0,"Early",IF(Z71=0,"On Time","Late")))</f>
        <v>Early</v>
      </c>
      <c r="AB71" s="14" t="n">
        <f aca="false">IF(AND(N71&lt;&gt;"Cancelled",L71&lt;=AsOf),1,0)</f>
        <v>1</v>
      </c>
      <c r="AC71" s="14" t="n">
        <f aca="false">IF(AND(N71&lt;&gt;"Cancelled",OR(ISNUMBER(M71),N71="Completed")),1,0)</f>
        <v>1</v>
      </c>
      <c r="AD71" s="14" t="n">
        <f aca="false">IF(AND(AC71=1,V71=1,ISNUMBER(M71)),M71-L71,"")</f>
        <v>-1</v>
      </c>
      <c r="AE71" s="14" t="str">
        <f aca="false">IF(AD71="","",IF(AD71&lt;0,"Early",IF(AD71=0,"On Time","Late")))</f>
        <v>Early</v>
      </c>
      <c r="AF71" s="14" t="n">
        <f aca="false">IF(AND(T71=1,ISNUMBER(J71),N71&lt;&gt;"Cancelled"),J71-B71,"")</f>
        <v>11</v>
      </c>
      <c r="AG71" s="14" t="n">
        <f aca="false">IF(AND(AF71&lt;&gt;"",Z71&lt;&gt;""),K71-J71,"")</f>
        <v>3</v>
      </c>
      <c r="AH71" s="14" t="n">
        <f aca="false">IF(AND(Z71&lt;&gt;"",AD71&lt;&gt;""),M71-K71,"")</f>
        <v>10</v>
      </c>
      <c r="AI71" s="14" t="n">
        <f aca="false">IF(Z71&lt;&gt;"",K71-B71,"")</f>
        <v>14</v>
      </c>
      <c r="AJ71" s="14" t="n">
        <f aca="false">IF(AND(N71="Completed",AD71&lt;&gt;""),M71-B71,"")</f>
        <v>24</v>
      </c>
      <c r="AK71" s="14" t="str">
        <f aca="false">IF(N71="Cancelled","Cancelled",IF(N71="Completed","Completed",IF(Y71=1,"Awaiting Installation",IF(ISNUMBER(J71),"In Transit","In Production"))))</f>
        <v>Completed</v>
      </c>
      <c r="AL71" s="18" t="n">
        <f aca="false">IF(AND(N71="Pending",OR(AND(Y71=0,I71&lt;AsOf),AND(Y71=1,L71&lt;AsOf))),1,0)</f>
        <v>0</v>
      </c>
      <c r="AM71" s="14" t="str">
        <f aca="false">IF(AL71=1,IF(Y71=0,AsOf-I71,AsOf-L71),"")</f>
        <v/>
      </c>
      <c r="AN71" s="14" t="str">
        <f aca="false">IF(AL71=1,IF(Y71=0,"Delivery","Installation"),"")</f>
        <v/>
      </c>
      <c r="AO71" s="14" t="n">
        <f aca="false">IF(AND(OR(fCat="All",F71=fCat),OR(fCust="All",D71=fCust),OR(fReg="All",E71=fReg)),1,0)</f>
        <v>1</v>
      </c>
      <c r="AP71" s="14" t="n">
        <f aca="false">IF(AND(AL71=1,AO71=1),AM71+ROW()/100000,0)</f>
        <v>0</v>
      </c>
    </row>
    <row r="72" customFormat="false" ht="15" hidden="false" customHeight="false" outlineLevel="0" collapsed="false">
      <c r="A72" s="14" t="s">
        <v>416</v>
      </c>
      <c r="B72" s="15" t="n">
        <v>46124</v>
      </c>
      <c r="C72" s="14" t="s">
        <v>268</v>
      </c>
      <c r="D72" s="14" t="s">
        <v>90</v>
      </c>
      <c r="E72" s="14" t="s">
        <v>91</v>
      </c>
      <c r="F72" s="14" t="s">
        <v>160</v>
      </c>
      <c r="G72" s="14" t="n">
        <v>1</v>
      </c>
      <c r="H72" s="16" t="n">
        <v>147000</v>
      </c>
      <c r="I72" s="15" t="n">
        <v>46134</v>
      </c>
      <c r="J72" s="15" t="n">
        <v>46134</v>
      </c>
      <c r="K72" s="15" t="n">
        <v>46135</v>
      </c>
      <c r="L72" s="15" t="n">
        <v>46137</v>
      </c>
      <c r="M72" s="15" t="n">
        <v>46136</v>
      </c>
      <c r="N72" s="14" t="s">
        <v>75</v>
      </c>
      <c r="O72" s="14"/>
      <c r="P72" s="14"/>
      <c r="Q72" s="14"/>
      <c r="R72" s="14" t="s">
        <v>168</v>
      </c>
      <c r="S72" s="14" t="s">
        <v>745</v>
      </c>
      <c r="T72" s="14" t="n">
        <v>1</v>
      </c>
      <c r="U72" s="14" t="n">
        <v>1</v>
      </c>
      <c r="V72" s="14" t="n">
        <v>1</v>
      </c>
      <c r="W72" s="17" t="n">
        <f aca="false">DATE(YEAR(B72),MONTH(B72),1)</f>
        <v>46113</v>
      </c>
      <c r="X72" s="14" t="n">
        <f aca="false">IF(AND(N72&lt;&gt;"Cancelled",I72&lt;=AsOf),1,0)</f>
        <v>1</v>
      </c>
      <c r="Y72" s="14" t="n">
        <f aca="false">IF(AND(N72&lt;&gt;"Cancelled",OR(ISNUMBER(K72),N72="Completed")),1,0)</f>
        <v>1</v>
      </c>
      <c r="Z72" s="14" t="n">
        <f aca="false">IF(AND(Y72=1,U72=1,ISNUMBER(K72)),K72-I72,"")</f>
        <v>1</v>
      </c>
      <c r="AA72" s="14" t="str">
        <f aca="false">IF(Z72="","",IF(Z72&lt;0,"Early",IF(Z72=0,"On Time","Late")))</f>
        <v>Late</v>
      </c>
      <c r="AB72" s="14" t="n">
        <f aca="false">IF(AND(N72&lt;&gt;"Cancelled",L72&lt;=AsOf),1,0)</f>
        <v>1</v>
      </c>
      <c r="AC72" s="14" t="n">
        <f aca="false">IF(AND(N72&lt;&gt;"Cancelled",OR(ISNUMBER(M72),N72="Completed")),1,0)</f>
        <v>1</v>
      </c>
      <c r="AD72" s="14" t="n">
        <f aca="false">IF(AND(AC72=1,V72=1,ISNUMBER(M72)),M72-L72,"")</f>
        <v>-1</v>
      </c>
      <c r="AE72" s="14" t="str">
        <f aca="false">IF(AD72="","",IF(AD72&lt;0,"Early",IF(AD72=0,"On Time","Late")))</f>
        <v>Early</v>
      </c>
      <c r="AF72" s="14" t="n">
        <f aca="false">IF(AND(T72=1,ISNUMBER(J72),N72&lt;&gt;"Cancelled"),J72-B72,"")</f>
        <v>10</v>
      </c>
      <c r="AG72" s="14" t="n">
        <f aca="false">IF(AND(AF72&lt;&gt;"",Z72&lt;&gt;""),K72-J72,"")</f>
        <v>1</v>
      </c>
      <c r="AH72" s="14" t="n">
        <f aca="false">IF(AND(Z72&lt;&gt;"",AD72&lt;&gt;""),M72-K72,"")</f>
        <v>1</v>
      </c>
      <c r="AI72" s="14" t="n">
        <f aca="false">IF(Z72&lt;&gt;"",K72-B72,"")</f>
        <v>11</v>
      </c>
      <c r="AJ72" s="14" t="n">
        <f aca="false">IF(AND(N72="Completed",AD72&lt;&gt;""),M72-B72,"")</f>
        <v>12</v>
      </c>
      <c r="AK72" s="14" t="str">
        <f aca="false">IF(N72="Cancelled","Cancelled",IF(N72="Completed","Completed",IF(Y72=1,"Awaiting Installation",IF(ISNUMBER(J72),"In Transit","In Production"))))</f>
        <v>Completed</v>
      </c>
      <c r="AL72" s="18" t="n">
        <f aca="false">IF(AND(N72="Pending",OR(AND(Y72=0,I72&lt;AsOf),AND(Y72=1,L72&lt;AsOf))),1,0)</f>
        <v>0</v>
      </c>
      <c r="AM72" s="14" t="str">
        <f aca="false">IF(AL72=1,IF(Y72=0,AsOf-I72,AsOf-L72),"")</f>
        <v/>
      </c>
      <c r="AN72" s="14" t="str">
        <f aca="false">IF(AL72=1,IF(Y72=0,"Delivery","Installation"),"")</f>
        <v/>
      </c>
      <c r="AO72" s="14" t="n">
        <f aca="false">IF(AND(OR(fCat="All",F72=fCat),OR(fCust="All",D72=fCust),OR(fReg="All",E72=fReg)),1,0)</f>
        <v>1</v>
      </c>
      <c r="AP72" s="14" t="n">
        <f aca="false">IF(AND(AL72=1,AO72=1),AM72+ROW()/100000,0)</f>
        <v>0</v>
      </c>
    </row>
    <row r="73" customFormat="false" ht="15" hidden="false" customHeight="false" outlineLevel="0" collapsed="false">
      <c r="A73" s="14" t="s">
        <v>418</v>
      </c>
      <c r="B73" s="15" t="n">
        <v>46124</v>
      </c>
      <c r="C73" s="14" t="s">
        <v>419</v>
      </c>
      <c r="D73" s="14" t="s">
        <v>90</v>
      </c>
      <c r="E73" s="14" t="s">
        <v>91</v>
      </c>
      <c r="F73" s="14" t="s">
        <v>67</v>
      </c>
      <c r="G73" s="14" t="n">
        <v>2</v>
      </c>
      <c r="H73" s="16" t="n">
        <v>1284000</v>
      </c>
      <c r="I73" s="15" t="n">
        <v>46142</v>
      </c>
      <c r="J73" s="15" t="n">
        <v>46142</v>
      </c>
      <c r="K73" s="15" t="n">
        <v>46143</v>
      </c>
      <c r="L73" s="15" t="n">
        <v>46147</v>
      </c>
      <c r="M73" s="15" t="n">
        <v>46147</v>
      </c>
      <c r="N73" s="14" t="s">
        <v>75</v>
      </c>
      <c r="O73" s="14"/>
      <c r="P73" s="14"/>
      <c r="Q73" s="14"/>
      <c r="R73" s="14" t="s">
        <v>168</v>
      </c>
      <c r="S73" s="14" t="s">
        <v>745</v>
      </c>
      <c r="T73" s="14" t="n">
        <v>1</v>
      </c>
      <c r="U73" s="14" t="n">
        <v>1</v>
      </c>
      <c r="V73" s="14" t="n">
        <v>1</v>
      </c>
      <c r="W73" s="17" t="n">
        <f aca="false">DATE(YEAR(B73),MONTH(B73),1)</f>
        <v>46113</v>
      </c>
      <c r="X73" s="14" t="n">
        <f aca="false">IF(AND(N73&lt;&gt;"Cancelled",I73&lt;=AsOf),1,0)</f>
        <v>1</v>
      </c>
      <c r="Y73" s="14" t="n">
        <f aca="false">IF(AND(N73&lt;&gt;"Cancelled",OR(ISNUMBER(K73),N73="Completed")),1,0)</f>
        <v>1</v>
      </c>
      <c r="Z73" s="14" t="n">
        <f aca="false">IF(AND(Y73=1,U73=1,ISNUMBER(K73)),K73-I73,"")</f>
        <v>1</v>
      </c>
      <c r="AA73" s="14" t="str">
        <f aca="false">IF(Z73="","",IF(Z73&lt;0,"Early",IF(Z73=0,"On Time","Late")))</f>
        <v>Late</v>
      </c>
      <c r="AB73" s="14" t="n">
        <f aca="false">IF(AND(N73&lt;&gt;"Cancelled",L73&lt;=AsOf),1,0)</f>
        <v>1</v>
      </c>
      <c r="AC73" s="14" t="n">
        <f aca="false">IF(AND(N73&lt;&gt;"Cancelled",OR(ISNUMBER(M73),N73="Completed")),1,0)</f>
        <v>1</v>
      </c>
      <c r="AD73" s="14" t="n">
        <f aca="false">IF(AND(AC73=1,V73=1,ISNUMBER(M73)),M73-L73,"")</f>
        <v>0</v>
      </c>
      <c r="AE73" s="14" t="str">
        <f aca="false">IF(AD73="","",IF(AD73&lt;0,"Early",IF(AD73=0,"On Time","Late")))</f>
        <v>On Time</v>
      </c>
      <c r="AF73" s="14" t="n">
        <f aca="false">IF(AND(T73=1,ISNUMBER(J73),N73&lt;&gt;"Cancelled"),J73-B73,"")</f>
        <v>18</v>
      </c>
      <c r="AG73" s="14" t="n">
        <f aca="false">IF(AND(AF73&lt;&gt;"",Z73&lt;&gt;""),K73-J73,"")</f>
        <v>1</v>
      </c>
      <c r="AH73" s="14" t="n">
        <f aca="false">IF(AND(Z73&lt;&gt;"",AD73&lt;&gt;""),M73-K73,"")</f>
        <v>4</v>
      </c>
      <c r="AI73" s="14" t="n">
        <f aca="false">IF(Z73&lt;&gt;"",K73-B73,"")</f>
        <v>19</v>
      </c>
      <c r="AJ73" s="14" t="n">
        <f aca="false">IF(AND(N73="Completed",AD73&lt;&gt;""),M73-B73,"")</f>
        <v>23</v>
      </c>
      <c r="AK73" s="14" t="str">
        <f aca="false">IF(N73="Cancelled","Cancelled",IF(N73="Completed","Completed",IF(Y73=1,"Awaiting Installation",IF(ISNUMBER(J73),"In Transit","In Production"))))</f>
        <v>Completed</v>
      </c>
      <c r="AL73" s="18" t="n">
        <f aca="false">IF(AND(N73="Pending",OR(AND(Y73=0,I73&lt;AsOf),AND(Y73=1,L73&lt;AsOf))),1,0)</f>
        <v>0</v>
      </c>
      <c r="AM73" s="14" t="str">
        <f aca="false">IF(AL73=1,IF(Y73=0,AsOf-I73,AsOf-L73),"")</f>
        <v/>
      </c>
      <c r="AN73" s="14" t="str">
        <f aca="false">IF(AL73=1,IF(Y73=0,"Delivery","Installation"),"")</f>
        <v/>
      </c>
      <c r="AO73" s="14" t="n">
        <f aca="false">IF(AND(OR(fCat="All",F73=fCat),OR(fCust="All",D73=fCust),OR(fReg="All",E73=fReg)),1,0)</f>
        <v>1</v>
      </c>
      <c r="AP73" s="14" t="n">
        <f aca="false">IF(AND(AL73=1,AO73=1),AM73+ROW()/100000,0)</f>
        <v>0</v>
      </c>
    </row>
    <row r="74" customFormat="false" ht="15" hidden="false" customHeight="false" outlineLevel="0" collapsed="false">
      <c r="A74" s="14" t="s">
        <v>423</v>
      </c>
      <c r="B74" s="15" t="n">
        <v>46126</v>
      </c>
      <c r="C74" s="14" t="s">
        <v>424</v>
      </c>
      <c r="D74" s="14" t="s">
        <v>65</v>
      </c>
      <c r="E74" s="14" t="s">
        <v>91</v>
      </c>
      <c r="F74" s="14" t="s">
        <v>67</v>
      </c>
      <c r="G74" s="14" t="n">
        <v>2</v>
      </c>
      <c r="H74" s="16" t="n">
        <v>692000</v>
      </c>
      <c r="I74" s="15" t="n">
        <v>46144</v>
      </c>
      <c r="J74" s="15" t="n">
        <v>46142</v>
      </c>
      <c r="K74" s="15" t="n">
        <v>46144</v>
      </c>
      <c r="L74" s="15" t="n">
        <v>46149</v>
      </c>
      <c r="M74" s="15" t="n">
        <v>46147</v>
      </c>
      <c r="N74" s="14" t="s">
        <v>75</v>
      </c>
      <c r="O74" s="14"/>
      <c r="P74" s="14"/>
      <c r="Q74" s="14"/>
      <c r="R74" s="14" t="s">
        <v>86</v>
      </c>
      <c r="S74" s="14" t="s">
        <v>745</v>
      </c>
      <c r="T74" s="14" t="n">
        <v>1</v>
      </c>
      <c r="U74" s="14" t="n">
        <v>1</v>
      </c>
      <c r="V74" s="14" t="n">
        <v>1</v>
      </c>
      <c r="W74" s="17" t="n">
        <f aca="false">DATE(YEAR(B74),MONTH(B74),1)</f>
        <v>46113</v>
      </c>
      <c r="X74" s="14" t="n">
        <f aca="false">IF(AND(N74&lt;&gt;"Cancelled",I74&lt;=AsOf),1,0)</f>
        <v>1</v>
      </c>
      <c r="Y74" s="14" t="n">
        <f aca="false">IF(AND(N74&lt;&gt;"Cancelled",OR(ISNUMBER(K74),N74="Completed")),1,0)</f>
        <v>1</v>
      </c>
      <c r="Z74" s="14" t="n">
        <f aca="false">IF(AND(Y74=1,U74=1,ISNUMBER(K74)),K74-I74,"")</f>
        <v>0</v>
      </c>
      <c r="AA74" s="14" t="str">
        <f aca="false">IF(Z74="","",IF(Z74&lt;0,"Early",IF(Z74=0,"On Time","Late")))</f>
        <v>On Time</v>
      </c>
      <c r="AB74" s="14" t="n">
        <f aca="false">IF(AND(N74&lt;&gt;"Cancelled",L74&lt;=AsOf),1,0)</f>
        <v>1</v>
      </c>
      <c r="AC74" s="14" t="n">
        <f aca="false">IF(AND(N74&lt;&gt;"Cancelled",OR(ISNUMBER(M74),N74="Completed")),1,0)</f>
        <v>1</v>
      </c>
      <c r="AD74" s="14" t="n">
        <f aca="false">IF(AND(AC74=1,V74=1,ISNUMBER(M74)),M74-L74,"")</f>
        <v>-2</v>
      </c>
      <c r="AE74" s="14" t="str">
        <f aca="false">IF(AD74="","",IF(AD74&lt;0,"Early",IF(AD74=0,"On Time","Late")))</f>
        <v>Early</v>
      </c>
      <c r="AF74" s="14" t="n">
        <f aca="false">IF(AND(T74=1,ISNUMBER(J74),N74&lt;&gt;"Cancelled"),J74-B74,"")</f>
        <v>16</v>
      </c>
      <c r="AG74" s="14" t="n">
        <f aca="false">IF(AND(AF74&lt;&gt;"",Z74&lt;&gt;""),K74-J74,"")</f>
        <v>2</v>
      </c>
      <c r="AH74" s="14" t="n">
        <f aca="false">IF(AND(Z74&lt;&gt;"",AD74&lt;&gt;""),M74-K74,"")</f>
        <v>3</v>
      </c>
      <c r="AI74" s="14" t="n">
        <f aca="false">IF(Z74&lt;&gt;"",K74-B74,"")</f>
        <v>18</v>
      </c>
      <c r="AJ74" s="14" t="n">
        <f aca="false">IF(AND(N74="Completed",AD74&lt;&gt;""),M74-B74,"")</f>
        <v>21</v>
      </c>
      <c r="AK74" s="14" t="str">
        <f aca="false">IF(N74="Cancelled","Cancelled",IF(N74="Completed","Completed",IF(Y74=1,"Awaiting Installation",IF(ISNUMBER(J74),"In Transit","In Production"))))</f>
        <v>Completed</v>
      </c>
      <c r="AL74" s="18" t="n">
        <f aca="false">IF(AND(N74="Pending",OR(AND(Y74=0,I74&lt;AsOf),AND(Y74=1,L74&lt;AsOf))),1,0)</f>
        <v>0</v>
      </c>
      <c r="AM74" s="14" t="str">
        <f aca="false">IF(AL74=1,IF(Y74=0,AsOf-I74,AsOf-L74),"")</f>
        <v/>
      </c>
      <c r="AN74" s="14" t="str">
        <f aca="false">IF(AL74=1,IF(Y74=0,"Delivery","Installation"),"")</f>
        <v/>
      </c>
      <c r="AO74" s="14" t="n">
        <f aca="false">IF(AND(OR(fCat="All",F74=fCat),OR(fCust="All",D74=fCust),OR(fReg="All",E74=fReg)),1,0)</f>
        <v>1</v>
      </c>
      <c r="AP74" s="14" t="n">
        <f aca="false">IF(AND(AL74=1,AO74=1),AM74+ROW()/100000,0)</f>
        <v>0</v>
      </c>
    </row>
    <row r="75" customFormat="false" ht="15" hidden="false" customHeight="false" outlineLevel="0" collapsed="false">
      <c r="A75" s="14" t="s">
        <v>427</v>
      </c>
      <c r="B75" s="15" t="n">
        <v>46127</v>
      </c>
      <c r="C75" s="14" t="s">
        <v>428</v>
      </c>
      <c r="D75" s="14" t="s">
        <v>149</v>
      </c>
      <c r="E75" s="14" t="s">
        <v>91</v>
      </c>
      <c r="F75" s="14" t="s">
        <v>150</v>
      </c>
      <c r="G75" s="14" t="n">
        <v>1</v>
      </c>
      <c r="H75" s="16" t="n">
        <v>597000</v>
      </c>
      <c r="I75" s="15" t="n">
        <v>46141</v>
      </c>
      <c r="J75" s="15" t="n">
        <v>46134</v>
      </c>
      <c r="K75" s="15" t="n">
        <v>46135</v>
      </c>
      <c r="L75" s="15" t="n">
        <v>46144</v>
      </c>
      <c r="M75" s="15" t="n">
        <v>46138</v>
      </c>
      <c r="N75" s="14" t="s">
        <v>75</v>
      </c>
      <c r="O75" s="14"/>
      <c r="P75" s="14"/>
      <c r="Q75" s="14"/>
      <c r="R75" s="14" t="s">
        <v>86</v>
      </c>
      <c r="S75" s="14" t="s">
        <v>745</v>
      </c>
      <c r="T75" s="14" t="n">
        <v>1</v>
      </c>
      <c r="U75" s="14" t="n">
        <v>1</v>
      </c>
      <c r="V75" s="14" t="n">
        <v>1</v>
      </c>
      <c r="W75" s="17" t="n">
        <f aca="false">DATE(YEAR(B75),MONTH(B75),1)</f>
        <v>46113</v>
      </c>
      <c r="X75" s="14" t="n">
        <f aca="false">IF(AND(N75&lt;&gt;"Cancelled",I75&lt;=AsOf),1,0)</f>
        <v>1</v>
      </c>
      <c r="Y75" s="14" t="n">
        <f aca="false">IF(AND(N75&lt;&gt;"Cancelled",OR(ISNUMBER(K75),N75="Completed")),1,0)</f>
        <v>1</v>
      </c>
      <c r="Z75" s="14" t="n">
        <f aca="false">IF(AND(Y75=1,U75=1,ISNUMBER(K75)),K75-I75,"")</f>
        <v>-6</v>
      </c>
      <c r="AA75" s="14" t="str">
        <f aca="false">IF(Z75="","",IF(Z75&lt;0,"Early",IF(Z75=0,"On Time","Late")))</f>
        <v>Early</v>
      </c>
      <c r="AB75" s="14" t="n">
        <f aca="false">IF(AND(N75&lt;&gt;"Cancelled",L75&lt;=AsOf),1,0)</f>
        <v>1</v>
      </c>
      <c r="AC75" s="14" t="n">
        <f aca="false">IF(AND(N75&lt;&gt;"Cancelled",OR(ISNUMBER(M75),N75="Completed")),1,0)</f>
        <v>1</v>
      </c>
      <c r="AD75" s="14" t="n">
        <f aca="false">IF(AND(AC75=1,V75=1,ISNUMBER(M75)),M75-L75,"")</f>
        <v>-6</v>
      </c>
      <c r="AE75" s="14" t="str">
        <f aca="false">IF(AD75="","",IF(AD75&lt;0,"Early",IF(AD75=0,"On Time","Late")))</f>
        <v>Early</v>
      </c>
      <c r="AF75" s="14" t="n">
        <f aca="false">IF(AND(T75=1,ISNUMBER(J75),N75&lt;&gt;"Cancelled"),J75-B75,"")</f>
        <v>7</v>
      </c>
      <c r="AG75" s="14" t="n">
        <f aca="false">IF(AND(AF75&lt;&gt;"",Z75&lt;&gt;""),K75-J75,"")</f>
        <v>1</v>
      </c>
      <c r="AH75" s="14" t="n">
        <f aca="false">IF(AND(Z75&lt;&gt;"",AD75&lt;&gt;""),M75-K75,"")</f>
        <v>3</v>
      </c>
      <c r="AI75" s="14" t="n">
        <f aca="false">IF(Z75&lt;&gt;"",K75-B75,"")</f>
        <v>8</v>
      </c>
      <c r="AJ75" s="14" t="n">
        <f aca="false">IF(AND(N75="Completed",AD75&lt;&gt;""),M75-B75,"")</f>
        <v>11</v>
      </c>
      <c r="AK75" s="14" t="str">
        <f aca="false">IF(N75="Cancelled","Cancelled",IF(N75="Completed","Completed",IF(Y75=1,"Awaiting Installation",IF(ISNUMBER(J75),"In Transit","In Production"))))</f>
        <v>Completed</v>
      </c>
      <c r="AL75" s="18" t="n">
        <f aca="false">IF(AND(N75="Pending",OR(AND(Y75=0,I75&lt;AsOf),AND(Y75=1,L75&lt;AsOf))),1,0)</f>
        <v>0</v>
      </c>
      <c r="AM75" s="14" t="str">
        <f aca="false">IF(AL75=1,IF(Y75=0,AsOf-I75,AsOf-L75),"")</f>
        <v/>
      </c>
      <c r="AN75" s="14" t="str">
        <f aca="false">IF(AL75=1,IF(Y75=0,"Delivery","Installation"),"")</f>
        <v/>
      </c>
      <c r="AO75" s="14" t="n">
        <f aca="false">IF(AND(OR(fCat="All",F75=fCat),OR(fCust="All",D75=fCust),OR(fReg="All",E75=fReg)),1,0)</f>
        <v>1</v>
      </c>
      <c r="AP75" s="14" t="n">
        <f aca="false">IF(AND(AL75=1,AO75=1),AM75+ROW()/100000,0)</f>
        <v>0</v>
      </c>
    </row>
    <row r="76" customFormat="false" ht="15" hidden="false" customHeight="false" outlineLevel="0" collapsed="false">
      <c r="A76" s="14" t="s">
        <v>430</v>
      </c>
      <c r="B76" s="15" t="n">
        <v>46127</v>
      </c>
      <c r="C76" s="14" t="s">
        <v>312</v>
      </c>
      <c r="D76" s="14" t="s">
        <v>149</v>
      </c>
      <c r="E76" s="14" t="s">
        <v>91</v>
      </c>
      <c r="F76" s="14" t="s">
        <v>150</v>
      </c>
      <c r="G76" s="14" t="n">
        <v>1</v>
      </c>
      <c r="H76" s="16"/>
      <c r="I76" s="15" t="n">
        <v>46141</v>
      </c>
      <c r="J76" s="15" t="n">
        <v>46136</v>
      </c>
      <c r="K76" s="15" t="n">
        <v>46138</v>
      </c>
      <c r="L76" s="15" t="n">
        <v>46144</v>
      </c>
      <c r="M76" s="15" t="n">
        <v>46140</v>
      </c>
      <c r="N76" s="14" t="s">
        <v>75</v>
      </c>
      <c r="O76" s="14"/>
      <c r="P76" s="14"/>
      <c r="Q76" s="14"/>
      <c r="R76" s="14"/>
      <c r="S76" s="14" t="s">
        <v>751</v>
      </c>
      <c r="T76" s="14" t="n">
        <v>1</v>
      </c>
      <c r="U76" s="14" t="n">
        <v>1</v>
      </c>
      <c r="V76" s="14" t="n">
        <v>1</v>
      </c>
      <c r="W76" s="17" t="n">
        <f aca="false">DATE(YEAR(B76),MONTH(B76),1)</f>
        <v>46113</v>
      </c>
      <c r="X76" s="14" t="n">
        <f aca="false">IF(AND(N76&lt;&gt;"Cancelled",I76&lt;=AsOf),1,0)</f>
        <v>1</v>
      </c>
      <c r="Y76" s="14" t="n">
        <f aca="false">IF(AND(N76&lt;&gt;"Cancelled",OR(ISNUMBER(K76),N76="Completed")),1,0)</f>
        <v>1</v>
      </c>
      <c r="Z76" s="14" t="n">
        <f aca="false">IF(AND(Y76=1,U76=1,ISNUMBER(K76)),K76-I76,"")</f>
        <v>-3</v>
      </c>
      <c r="AA76" s="14" t="str">
        <f aca="false">IF(Z76="","",IF(Z76&lt;0,"Early",IF(Z76=0,"On Time","Late")))</f>
        <v>Early</v>
      </c>
      <c r="AB76" s="14" t="n">
        <f aca="false">IF(AND(N76&lt;&gt;"Cancelled",L76&lt;=AsOf),1,0)</f>
        <v>1</v>
      </c>
      <c r="AC76" s="14" t="n">
        <f aca="false">IF(AND(N76&lt;&gt;"Cancelled",OR(ISNUMBER(M76),N76="Completed")),1,0)</f>
        <v>1</v>
      </c>
      <c r="AD76" s="14" t="n">
        <f aca="false">IF(AND(AC76=1,V76=1,ISNUMBER(M76)),M76-L76,"")</f>
        <v>-4</v>
      </c>
      <c r="AE76" s="14" t="str">
        <f aca="false">IF(AD76="","",IF(AD76&lt;0,"Early",IF(AD76=0,"On Time","Late")))</f>
        <v>Early</v>
      </c>
      <c r="AF76" s="14" t="n">
        <f aca="false">IF(AND(T76=1,ISNUMBER(J76),N76&lt;&gt;"Cancelled"),J76-B76,"")</f>
        <v>9</v>
      </c>
      <c r="AG76" s="14" t="n">
        <f aca="false">IF(AND(AF76&lt;&gt;"",Z76&lt;&gt;""),K76-J76,"")</f>
        <v>2</v>
      </c>
      <c r="AH76" s="14" t="n">
        <f aca="false">IF(AND(Z76&lt;&gt;"",AD76&lt;&gt;""),M76-K76,"")</f>
        <v>2</v>
      </c>
      <c r="AI76" s="14" t="n">
        <f aca="false">IF(Z76&lt;&gt;"",K76-B76,"")</f>
        <v>11</v>
      </c>
      <c r="AJ76" s="14" t="n">
        <f aca="false">IF(AND(N76="Completed",AD76&lt;&gt;""),M76-B76,"")</f>
        <v>13</v>
      </c>
      <c r="AK76" s="14" t="str">
        <f aca="false">IF(N76="Cancelled","Cancelled",IF(N76="Completed","Completed",IF(Y76=1,"Awaiting Installation",IF(ISNUMBER(J76),"In Transit","In Production"))))</f>
        <v>Completed</v>
      </c>
      <c r="AL76" s="18" t="n">
        <f aca="false">IF(AND(N76="Pending",OR(AND(Y76=0,I76&lt;AsOf),AND(Y76=1,L76&lt;AsOf))),1,0)</f>
        <v>0</v>
      </c>
      <c r="AM76" s="14" t="str">
        <f aca="false">IF(AL76=1,IF(Y76=0,AsOf-I76,AsOf-L76),"")</f>
        <v/>
      </c>
      <c r="AN76" s="14" t="str">
        <f aca="false">IF(AL76=1,IF(Y76=0,"Delivery","Installation"),"")</f>
        <v/>
      </c>
      <c r="AO76" s="14" t="n">
        <f aca="false">IF(AND(OR(fCat="All",F76=fCat),OR(fCust="All",D76=fCust),OR(fReg="All",E76=fReg)),1,0)</f>
        <v>1</v>
      </c>
      <c r="AP76" s="14" t="n">
        <f aca="false">IF(AND(AL76=1,AO76=1),AM76+ROW()/100000,0)</f>
        <v>0</v>
      </c>
    </row>
    <row r="77" customFormat="false" ht="15" hidden="false" customHeight="false" outlineLevel="0" collapsed="false">
      <c r="A77" s="14" t="s">
        <v>431</v>
      </c>
      <c r="B77" s="15" t="n">
        <v>46132</v>
      </c>
      <c r="C77" s="14" t="s">
        <v>432</v>
      </c>
      <c r="D77" s="14" t="s">
        <v>90</v>
      </c>
      <c r="E77" s="14" t="s">
        <v>66</v>
      </c>
      <c r="F77" s="14" t="s">
        <v>67</v>
      </c>
      <c r="G77" s="14" t="n">
        <v>2</v>
      </c>
      <c r="H77" s="16" t="n">
        <v>708000</v>
      </c>
      <c r="I77" s="15" t="n">
        <v>46154</v>
      </c>
      <c r="J77" s="15" t="n">
        <v>46150</v>
      </c>
      <c r="K77" s="15" t="n">
        <v>46162</v>
      </c>
      <c r="L77" s="15" t="n">
        <v>46159</v>
      </c>
      <c r="M77" s="15"/>
      <c r="N77" s="14" t="s">
        <v>328</v>
      </c>
      <c r="O77" s="14" t="s">
        <v>329</v>
      </c>
      <c r="P77" s="14" t="s">
        <v>183</v>
      </c>
      <c r="Q77" s="14"/>
      <c r="R77" s="14" t="s">
        <v>366</v>
      </c>
      <c r="S77" s="14" t="s">
        <v>745</v>
      </c>
      <c r="T77" s="14" t="n">
        <v>1</v>
      </c>
      <c r="U77" s="14" t="n">
        <v>1</v>
      </c>
      <c r="V77" s="14" t="n">
        <v>1</v>
      </c>
      <c r="W77" s="17" t="n">
        <f aca="false">DATE(YEAR(B77),MONTH(B77),1)</f>
        <v>46113</v>
      </c>
      <c r="X77" s="14" t="n">
        <f aca="false">IF(AND(N77&lt;&gt;"Cancelled",I77&lt;=AsOf),1,0)</f>
        <v>1</v>
      </c>
      <c r="Y77" s="14" t="n">
        <f aca="false">IF(AND(N77&lt;&gt;"Cancelled",OR(ISNUMBER(K77),N77="Completed")),1,0)</f>
        <v>1</v>
      </c>
      <c r="Z77" s="14" t="n">
        <f aca="false">IF(AND(Y77=1,U77=1,ISNUMBER(K77)),K77-I77,"")</f>
        <v>8</v>
      </c>
      <c r="AA77" s="14" t="str">
        <f aca="false">IF(Z77="","",IF(Z77&lt;0,"Early",IF(Z77=0,"On Time","Late")))</f>
        <v>Late</v>
      </c>
      <c r="AB77" s="14" t="n">
        <f aca="false">IF(AND(N77&lt;&gt;"Cancelled",L77&lt;=AsOf),1,0)</f>
        <v>1</v>
      </c>
      <c r="AC77" s="14" t="n">
        <f aca="false">IF(AND(N77&lt;&gt;"Cancelled",OR(ISNUMBER(M77),N77="Completed")),1,0)</f>
        <v>0</v>
      </c>
      <c r="AD77" s="14" t="str">
        <f aca="false">IF(AND(AC77=1,V77=1,ISNUMBER(M77)),M77-L77,"")</f>
        <v/>
      </c>
      <c r="AE77" s="14" t="str">
        <f aca="false">IF(AD77="","",IF(AD77&lt;0,"Early",IF(AD77=0,"On Time","Late")))</f>
        <v/>
      </c>
      <c r="AF77" s="14" t="n">
        <f aca="false">IF(AND(T77=1,ISNUMBER(J77),N77&lt;&gt;"Cancelled"),J77-B77,"")</f>
        <v>18</v>
      </c>
      <c r="AG77" s="14" t="n">
        <f aca="false">IF(AND(AF77&lt;&gt;"",Z77&lt;&gt;""),K77-J77,"")</f>
        <v>12</v>
      </c>
      <c r="AH77" s="14" t="str">
        <f aca="false">IF(AND(Z77&lt;&gt;"",AD77&lt;&gt;""),M77-K77,"")</f>
        <v/>
      </c>
      <c r="AI77" s="14" t="n">
        <f aca="false">IF(Z77&lt;&gt;"",K77-B77,"")</f>
        <v>30</v>
      </c>
      <c r="AJ77" s="14" t="str">
        <f aca="false">IF(AND(N77="Completed",AD77&lt;&gt;""),M77-B77,"")</f>
        <v/>
      </c>
      <c r="AK77" s="14" t="str">
        <f aca="false">IF(N77="Cancelled","Cancelled",IF(N77="Completed","Completed",IF(Y77=1,"Awaiting Installation",IF(ISNUMBER(J77),"In Transit","In Production"))))</f>
        <v>Awaiting Installation</v>
      </c>
      <c r="AL77" s="18" t="n">
        <f aca="false">IF(AND(N77="Pending",OR(AND(Y77=0,I77&lt;AsOf),AND(Y77=1,L77&lt;AsOf))),1,0)</f>
        <v>1</v>
      </c>
      <c r="AM77" s="14" t="n">
        <f aca="false">IF(AL77=1,IF(Y77=0,AsOf-I77,AsOf-L77),"")</f>
        <v>44</v>
      </c>
      <c r="AN77" s="14" t="str">
        <f aca="false">IF(AL77=1,IF(Y77=0,"Delivery","Installation"),"")</f>
        <v>Installation</v>
      </c>
      <c r="AO77" s="14" t="n">
        <f aca="false">IF(AND(OR(fCat="All",F77=fCat),OR(fCust="All",D77=fCust),OR(fReg="All",E77=fReg)),1,0)</f>
        <v>1</v>
      </c>
      <c r="AP77" s="14" t="n">
        <f aca="false">IF(AND(AL77=1,AO77=1),AM77+ROW()/100000,0)</f>
        <v>44.00077</v>
      </c>
    </row>
    <row r="78" customFormat="false" ht="15" hidden="false" customHeight="false" outlineLevel="0" collapsed="false">
      <c r="A78" s="14" t="s">
        <v>439</v>
      </c>
      <c r="B78" s="15" t="n">
        <v>46132</v>
      </c>
      <c r="C78" s="14" t="s">
        <v>440</v>
      </c>
      <c r="D78" s="14" t="s">
        <v>90</v>
      </c>
      <c r="E78" s="14" t="s">
        <v>91</v>
      </c>
      <c r="F78" s="14" t="s">
        <v>67</v>
      </c>
      <c r="G78" s="14" t="n">
        <v>3</v>
      </c>
      <c r="H78" s="16" t="n">
        <v>2628000</v>
      </c>
      <c r="I78" s="15" t="n">
        <v>46150</v>
      </c>
      <c r="J78" s="15" t="n">
        <v>46153</v>
      </c>
      <c r="K78" s="15" t="n">
        <v>46155</v>
      </c>
      <c r="L78" s="15" t="n">
        <v>46155</v>
      </c>
      <c r="M78" s="15" t="n">
        <v>46158</v>
      </c>
      <c r="N78" s="14" t="s">
        <v>75</v>
      </c>
      <c r="O78" s="14" t="s">
        <v>110</v>
      </c>
      <c r="P78" s="14" t="s">
        <v>85</v>
      </c>
      <c r="Q78" s="14"/>
      <c r="R78" s="14"/>
      <c r="S78" s="14" t="s">
        <v>745</v>
      </c>
      <c r="T78" s="14" t="n">
        <v>1</v>
      </c>
      <c r="U78" s="14" t="n">
        <v>1</v>
      </c>
      <c r="V78" s="14" t="n">
        <v>1</v>
      </c>
      <c r="W78" s="17" t="n">
        <f aca="false">DATE(YEAR(B78),MONTH(B78),1)</f>
        <v>46113</v>
      </c>
      <c r="X78" s="14" t="n">
        <f aca="false">IF(AND(N78&lt;&gt;"Cancelled",I78&lt;=AsOf),1,0)</f>
        <v>1</v>
      </c>
      <c r="Y78" s="14" t="n">
        <f aca="false">IF(AND(N78&lt;&gt;"Cancelled",OR(ISNUMBER(K78),N78="Completed")),1,0)</f>
        <v>1</v>
      </c>
      <c r="Z78" s="14" t="n">
        <f aca="false">IF(AND(Y78=1,U78=1,ISNUMBER(K78)),K78-I78,"")</f>
        <v>5</v>
      </c>
      <c r="AA78" s="14" t="str">
        <f aca="false">IF(Z78="","",IF(Z78&lt;0,"Early",IF(Z78=0,"On Time","Late")))</f>
        <v>Late</v>
      </c>
      <c r="AB78" s="14" t="n">
        <f aca="false">IF(AND(N78&lt;&gt;"Cancelled",L78&lt;=AsOf),1,0)</f>
        <v>1</v>
      </c>
      <c r="AC78" s="14" t="n">
        <f aca="false">IF(AND(N78&lt;&gt;"Cancelled",OR(ISNUMBER(M78),N78="Completed")),1,0)</f>
        <v>1</v>
      </c>
      <c r="AD78" s="14" t="n">
        <f aca="false">IF(AND(AC78=1,V78=1,ISNUMBER(M78)),M78-L78,"")</f>
        <v>3</v>
      </c>
      <c r="AE78" s="14" t="str">
        <f aca="false">IF(AD78="","",IF(AD78&lt;0,"Early",IF(AD78=0,"On Time","Late")))</f>
        <v>Late</v>
      </c>
      <c r="AF78" s="14" t="n">
        <f aca="false">IF(AND(T78=1,ISNUMBER(J78),N78&lt;&gt;"Cancelled"),J78-B78,"")</f>
        <v>21</v>
      </c>
      <c r="AG78" s="14" t="n">
        <f aca="false">IF(AND(AF78&lt;&gt;"",Z78&lt;&gt;""),K78-J78,"")</f>
        <v>2</v>
      </c>
      <c r="AH78" s="14" t="n">
        <f aca="false">IF(AND(Z78&lt;&gt;"",AD78&lt;&gt;""),M78-K78,"")</f>
        <v>3</v>
      </c>
      <c r="AI78" s="14" t="n">
        <f aca="false">IF(Z78&lt;&gt;"",K78-B78,"")</f>
        <v>23</v>
      </c>
      <c r="AJ78" s="14" t="n">
        <f aca="false">IF(AND(N78="Completed",AD78&lt;&gt;""),M78-B78,"")</f>
        <v>26</v>
      </c>
      <c r="AK78" s="14" t="str">
        <f aca="false">IF(N78="Cancelled","Cancelled",IF(N78="Completed","Completed",IF(Y78=1,"Awaiting Installation",IF(ISNUMBER(J78),"In Transit","In Production"))))</f>
        <v>Completed</v>
      </c>
      <c r="AL78" s="18" t="n">
        <f aca="false">IF(AND(N78="Pending",OR(AND(Y78=0,I78&lt;AsOf),AND(Y78=1,L78&lt;AsOf))),1,0)</f>
        <v>0</v>
      </c>
      <c r="AM78" s="14" t="str">
        <f aca="false">IF(AL78=1,IF(Y78=0,AsOf-I78,AsOf-L78),"")</f>
        <v/>
      </c>
      <c r="AN78" s="14" t="str">
        <f aca="false">IF(AL78=1,IF(Y78=0,"Delivery","Installation"),"")</f>
        <v/>
      </c>
      <c r="AO78" s="14" t="n">
        <f aca="false">IF(AND(OR(fCat="All",F78=fCat),OR(fCust="All",D78=fCust),OR(fReg="All",E78=fReg)),1,0)</f>
        <v>1</v>
      </c>
      <c r="AP78" s="14" t="n">
        <f aca="false">IF(AND(AL78=1,AO78=1),AM78+ROW()/100000,0)</f>
        <v>0</v>
      </c>
    </row>
    <row r="79" customFormat="false" ht="15" hidden="false" customHeight="false" outlineLevel="0" collapsed="false">
      <c r="A79" s="14" t="s">
        <v>445</v>
      </c>
      <c r="B79" s="15" t="n">
        <v>46132</v>
      </c>
      <c r="C79" s="14" t="s">
        <v>242</v>
      </c>
      <c r="D79" s="14" t="s">
        <v>90</v>
      </c>
      <c r="E79" s="14" t="s">
        <v>102</v>
      </c>
      <c r="F79" s="14" t="s">
        <v>67</v>
      </c>
      <c r="G79" s="14" t="n">
        <v>1</v>
      </c>
      <c r="H79" s="16" t="n">
        <v>1175000</v>
      </c>
      <c r="I79" s="15" t="n">
        <v>46152</v>
      </c>
      <c r="J79" s="15" t="n">
        <v>46159</v>
      </c>
      <c r="K79" s="15" t="n">
        <v>46163</v>
      </c>
      <c r="L79" s="15" t="n">
        <v>46157</v>
      </c>
      <c r="M79" s="15" t="n">
        <v>46167</v>
      </c>
      <c r="N79" s="14" t="s">
        <v>75</v>
      </c>
      <c r="O79" s="14" t="s">
        <v>110</v>
      </c>
      <c r="P79" s="14"/>
      <c r="Q79" s="14"/>
      <c r="R79" s="14" t="s">
        <v>134</v>
      </c>
      <c r="S79" s="14" t="s">
        <v>745</v>
      </c>
      <c r="T79" s="14" t="n">
        <v>1</v>
      </c>
      <c r="U79" s="14" t="n">
        <v>1</v>
      </c>
      <c r="V79" s="14" t="n">
        <v>1</v>
      </c>
      <c r="W79" s="17" t="n">
        <f aca="false">DATE(YEAR(B79),MONTH(B79),1)</f>
        <v>46113</v>
      </c>
      <c r="X79" s="14" t="n">
        <f aca="false">IF(AND(N79&lt;&gt;"Cancelled",I79&lt;=AsOf),1,0)</f>
        <v>1</v>
      </c>
      <c r="Y79" s="14" t="n">
        <f aca="false">IF(AND(N79&lt;&gt;"Cancelled",OR(ISNUMBER(K79),N79="Completed")),1,0)</f>
        <v>1</v>
      </c>
      <c r="Z79" s="14" t="n">
        <f aca="false">IF(AND(Y79=1,U79=1,ISNUMBER(K79)),K79-I79,"")</f>
        <v>11</v>
      </c>
      <c r="AA79" s="14" t="str">
        <f aca="false">IF(Z79="","",IF(Z79&lt;0,"Early",IF(Z79=0,"On Time","Late")))</f>
        <v>Late</v>
      </c>
      <c r="AB79" s="14" t="n">
        <f aca="false">IF(AND(N79&lt;&gt;"Cancelled",L79&lt;=AsOf),1,0)</f>
        <v>1</v>
      </c>
      <c r="AC79" s="14" t="n">
        <f aca="false">IF(AND(N79&lt;&gt;"Cancelled",OR(ISNUMBER(M79),N79="Completed")),1,0)</f>
        <v>1</v>
      </c>
      <c r="AD79" s="14" t="n">
        <f aca="false">IF(AND(AC79=1,V79=1,ISNUMBER(M79)),M79-L79,"")</f>
        <v>10</v>
      </c>
      <c r="AE79" s="14" t="str">
        <f aca="false">IF(AD79="","",IF(AD79&lt;0,"Early",IF(AD79=0,"On Time","Late")))</f>
        <v>Late</v>
      </c>
      <c r="AF79" s="14" t="n">
        <f aca="false">IF(AND(T79=1,ISNUMBER(J79),N79&lt;&gt;"Cancelled"),J79-B79,"")</f>
        <v>27</v>
      </c>
      <c r="AG79" s="14" t="n">
        <f aca="false">IF(AND(AF79&lt;&gt;"",Z79&lt;&gt;""),K79-J79,"")</f>
        <v>4</v>
      </c>
      <c r="AH79" s="14" t="n">
        <f aca="false">IF(AND(Z79&lt;&gt;"",AD79&lt;&gt;""),M79-K79,"")</f>
        <v>4</v>
      </c>
      <c r="AI79" s="14" t="n">
        <f aca="false">IF(Z79&lt;&gt;"",K79-B79,"")</f>
        <v>31</v>
      </c>
      <c r="AJ79" s="14" t="n">
        <f aca="false">IF(AND(N79="Completed",AD79&lt;&gt;""),M79-B79,"")</f>
        <v>35</v>
      </c>
      <c r="AK79" s="14" t="str">
        <f aca="false">IF(N79="Cancelled","Cancelled",IF(N79="Completed","Completed",IF(Y79=1,"Awaiting Installation",IF(ISNUMBER(J79),"In Transit","In Production"))))</f>
        <v>Completed</v>
      </c>
      <c r="AL79" s="18" t="n">
        <f aca="false">IF(AND(N79="Pending",OR(AND(Y79=0,I79&lt;AsOf),AND(Y79=1,L79&lt;AsOf))),1,0)</f>
        <v>0</v>
      </c>
      <c r="AM79" s="14" t="str">
        <f aca="false">IF(AL79=1,IF(Y79=0,AsOf-I79,AsOf-L79),"")</f>
        <v/>
      </c>
      <c r="AN79" s="14" t="str">
        <f aca="false">IF(AL79=1,IF(Y79=0,"Delivery","Installation"),"")</f>
        <v/>
      </c>
      <c r="AO79" s="14" t="n">
        <f aca="false">IF(AND(OR(fCat="All",F79=fCat),OR(fCust="All",D79=fCust),OR(fReg="All",E79=fReg)),1,0)</f>
        <v>1</v>
      </c>
      <c r="AP79" s="14" t="n">
        <f aca="false">IF(AND(AL79=1,AO79=1),AM79+ROW()/100000,0)</f>
        <v>0</v>
      </c>
    </row>
    <row r="80" customFormat="false" ht="15" hidden="false" customHeight="false" outlineLevel="0" collapsed="false">
      <c r="A80" s="14" t="s">
        <v>451</v>
      </c>
      <c r="B80" s="15" t="n">
        <v>46134</v>
      </c>
      <c r="C80" s="14" t="s">
        <v>170</v>
      </c>
      <c r="D80" s="14" t="s">
        <v>90</v>
      </c>
      <c r="E80" s="14" t="s">
        <v>91</v>
      </c>
      <c r="F80" s="14" t="s">
        <v>121</v>
      </c>
      <c r="G80" s="14" t="n">
        <v>1</v>
      </c>
      <c r="H80" s="16" t="n">
        <v>801000</v>
      </c>
      <c r="I80" s="15" t="n">
        <v>46164</v>
      </c>
      <c r="J80" s="15" t="n">
        <v>46171</v>
      </c>
      <c r="K80" s="15" t="n">
        <v>46172</v>
      </c>
      <c r="L80" s="15" t="n">
        <v>46169</v>
      </c>
      <c r="M80" s="15" t="n">
        <v>46177</v>
      </c>
      <c r="N80" s="14" t="s">
        <v>75</v>
      </c>
      <c r="O80" s="14" t="s">
        <v>84</v>
      </c>
      <c r="P80" s="14" t="s">
        <v>85</v>
      </c>
      <c r="Q80" s="14"/>
      <c r="R80" s="14" t="s">
        <v>86</v>
      </c>
      <c r="S80" s="14" t="s">
        <v>745</v>
      </c>
      <c r="T80" s="14" t="n">
        <v>1</v>
      </c>
      <c r="U80" s="14" t="n">
        <v>1</v>
      </c>
      <c r="V80" s="14" t="n">
        <v>1</v>
      </c>
      <c r="W80" s="17" t="n">
        <f aca="false">DATE(YEAR(B80),MONTH(B80),1)</f>
        <v>46113</v>
      </c>
      <c r="X80" s="14" t="n">
        <f aca="false">IF(AND(N80&lt;&gt;"Cancelled",I80&lt;=AsOf),1,0)</f>
        <v>1</v>
      </c>
      <c r="Y80" s="14" t="n">
        <f aca="false">IF(AND(N80&lt;&gt;"Cancelled",OR(ISNUMBER(K80),N80="Completed")),1,0)</f>
        <v>1</v>
      </c>
      <c r="Z80" s="14" t="n">
        <f aca="false">IF(AND(Y80=1,U80=1,ISNUMBER(K80)),K80-I80,"")</f>
        <v>8</v>
      </c>
      <c r="AA80" s="14" t="str">
        <f aca="false">IF(Z80="","",IF(Z80&lt;0,"Early",IF(Z80=0,"On Time","Late")))</f>
        <v>Late</v>
      </c>
      <c r="AB80" s="14" t="n">
        <f aca="false">IF(AND(N80&lt;&gt;"Cancelled",L80&lt;=AsOf),1,0)</f>
        <v>1</v>
      </c>
      <c r="AC80" s="14" t="n">
        <f aca="false">IF(AND(N80&lt;&gt;"Cancelled",OR(ISNUMBER(M80),N80="Completed")),1,0)</f>
        <v>1</v>
      </c>
      <c r="AD80" s="14" t="n">
        <f aca="false">IF(AND(AC80=1,V80=1,ISNUMBER(M80)),M80-L80,"")</f>
        <v>8</v>
      </c>
      <c r="AE80" s="14" t="str">
        <f aca="false">IF(AD80="","",IF(AD80&lt;0,"Early",IF(AD80=0,"On Time","Late")))</f>
        <v>Late</v>
      </c>
      <c r="AF80" s="14" t="n">
        <f aca="false">IF(AND(T80=1,ISNUMBER(J80),N80&lt;&gt;"Cancelled"),J80-B80,"")</f>
        <v>37</v>
      </c>
      <c r="AG80" s="14" t="n">
        <f aca="false">IF(AND(AF80&lt;&gt;"",Z80&lt;&gt;""),K80-J80,"")</f>
        <v>1</v>
      </c>
      <c r="AH80" s="14" t="n">
        <f aca="false">IF(AND(Z80&lt;&gt;"",AD80&lt;&gt;""),M80-K80,"")</f>
        <v>5</v>
      </c>
      <c r="AI80" s="14" t="n">
        <f aca="false">IF(Z80&lt;&gt;"",K80-B80,"")</f>
        <v>38</v>
      </c>
      <c r="AJ80" s="14" t="n">
        <f aca="false">IF(AND(N80="Completed",AD80&lt;&gt;""),M80-B80,"")</f>
        <v>43</v>
      </c>
      <c r="AK80" s="14" t="str">
        <f aca="false">IF(N80="Cancelled","Cancelled",IF(N80="Completed","Completed",IF(Y80=1,"Awaiting Installation",IF(ISNUMBER(J80),"In Transit","In Production"))))</f>
        <v>Completed</v>
      </c>
      <c r="AL80" s="18" t="n">
        <f aca="false">IF(AND(N80="Pending",OR(AND(Y80=0,I80&lt;AsOf),AND(Y80=1,L80&lt;AsOf))),1,0)</f>
        <v>0</v>
      </c>
      <c r="AM80" s="14" t="str">
        <f aca="false">IF(AL80=1,IF(Y80=0,AsOf-I80,AsOf-L80),"")</f>
        <v/>
      </c>
      <c r="AN80" s="14" t="str">
        <f aca="false">IF(AL80=1,IF(Y80=0,"Delivery","Installation"),"")</f>
        <v/>
      </c>
      <c r="AO80" s="14" t="n">
        <f aca="false">IF(AND(OR(fCat="All",F80=fCat),OR(fCust="All",D80=fCust),OR(fReg="All",E80=fReg)),1,0)</f>
        <v>1</v>
      </c>
      <c r="AP80" s="14" t="n">
        <f aca="false">IF(AND(AL80=1,AO80=1),AM80+ROW()/100000,0)</f>
        <v>0</v>
      </c>
    </row>
    <row r="81" customFormat="false" ht="15" hidden="false" customHeight="false" outlineLevel="0" collapsed="false">
      <c r="A81" s="14" t="s">
        <v>457</v>
      </c>
      <c r="B81" s="15" t="n">
        <v>46135</v>
      </c>
      <c r="C81" s="14" t="s">
        <v>148</v>
      </c>
      <c r="D81" s="14" t="s">
        <v>90</v>
      </c>
      <c r="E81" s="14" t="s">
        <v>102</v>
      </c>
      <c r="F81" s="14" t="s">
        <v>160</v>
      </c>
      <c r="G81" s="14" t="n">
        <v>1</v>
      </c>
      <c r="H81" s="16" t="n">
        <v>179000</v>
      </c>
      <c r="I81" s="15" t="n">
        <v>46147</v>
      </c>
      <c r="J81" s="15" t="n">
        <v>46144</v>
      </c>
      <c r="K81" s="15" t="n">
        <v>46147</v>
      </c>
      <c r="L81" s="15" t="n">
        <v>46150</v>
      </c>
      <c r="M81" s="15" t="n">
        <v>46154</v>
      </c>
      <c r="N81" s="14" t="s">
        <v>75</v>
      </c>
      <c r="O81" s="14"/>
      <c r="P81" s="14" t="s">
        <v>183</v>
      </c>
      <c r="Q81" s="14"/>
      <c r="R81" s="14" t="s">
        <v>86</v>
      </c>
      <c r="S81" s="14" t="s">
        <v>745</v>
      </c>
      <c r="T81" s="14" t="n">
        <v>1</v>
      </c>
      <c r="U81" s="14" t="n">
        <v>1</v>
      </c>
      <c r="V81" s="14" t="n">
        <v>1</v>
      </c>
      <c r="W81" s="17" t="n">
        <f aca="false">DATE(YEAR(B81),MONTH(B81),1)</f>
        <v>46113</v>
      </c>
      <c r="X81" s="14" t="n">
        <f aca="false">IF(AND(N81&lt;&gt;"Cancelled",I81&lt;=AsOf),1,0)</f>
        <v>1</v>
      </c>
      <c r="Y81" s="14" t="n">
        <f aca="false">IF(AND(N81&lt;&gt;"Cancelled",OR(ISNUMBER(K81),N81="Completed")),1,0)</f>
        <v>1</v>
      </c>
      <c r="Z81" s="14" t="n">
        <f aca="false">IF(AND(Y81=1,U81=1,ISNUMBER(K81)),K81-I81,"")</f>
        <v>0</v>
      </c>
      <c r="AA81" s="14" t="str">
        <f aca="false">IF(Z81="","",IF(Z81&lt;0,"Early",IF(Z81=0,"On Time","Late")))</f>
        <v>On Time</v>
      </c>
      <c r="AB81" s="14" t="n">
        <f aca="false">IF(AND(N81&lt;&gt;"Cancelled",L81&lt;=AsOf),1,0)</f>
        <v>1</v>
      </c>
      <c r="AC81" s="14" t="n">
        <f aca="false">IF(AND(N81&lt;&gt;"Cancelled",OR(ISNUMBER(M81),N81="Completed")),1,0)</f>
        <v>1</v>
      </c>
      <c r="AD81" s="14" t="n">
        <f aca="false">IF(AND(AC81=1,V81=1,ISNUMBER(M81)),M81-L81,"")</f>
        <v>4</v>
      </c>
      <c r="AE81" s="14" t="str">
        <f aca="false">IF(AD81="","",IF(AD81&lt;0,"Early",IF(AD81=0,"On Time","Late")))</f>
        <v>Late</v>
      </c>
      <c r="AF81" s="14" t="n">
        <f aca="false">IF(AND(T81=1,ISNUMBER(J81),N81&lt;&gt;"Cancelled"),J81-B81,"")</f>
        <v>9</v>
      </c>
      <c r="AG81" s="14" t="n">
        <f aca="false">IF(AND(AF81&lt;&gt;"",Z81&lt;&gt;""),K81-J81,"")</f>
        <v>3</v>
      </c>
      <c r="AH81" s="14" t="n">
        <f aca="false">IF(AND(Z81&lt;&gt;"",AD81&lt;&gt;""),M81-K81,"")</f>
        <v>7</v>
      </c>
      <c r="AI81" s="14" t="n">
        <f aca="false">IF(Z81&lt;&gt;"",K81-B81,"")</f>
        <v>12</v>
      </c>
      <c r="AJ81" s="14" t="n">
        <f aca="false">IF(AND(N81="Completed",AD81&lt;&gt;""),M81-B81,"")</f>
        <v>19</v>
      </c>
      <c r="AK81" s="14" t="str">
        <f aca="false">IF(N81="Cancelled","Cancelled",IF(N81="Completed","Completed",IF(Y81=1,"Awaiting Installation",IF(ISNUMBER(J81),"In Transit","In Production"))))</f>
        <v>Completed</v>
      </c>
      <c r="AL81" s="18" t="n">
        <f aca="false">IF(AND(N81="Pending",OR(AND(Y81=0,I81&lt;AsOf),AND(Y81=1,L81&lt;AsOf))),1,0)</f>
        <v>0</v>
      </c>
      <c r="AM81" s="14" t="str">
        <f aca="false">IF(AL81=1,IF(Y81=0,AsOf-I81,AsOf-L81),"")</f>
        <v/>
      </c>
      <c r="AN81" s="14" t="str">
        <f aca="false">IF(AL81=1,IF(Y81=0,"Delivery","Installation"),"")</f>
        <v/>
      </c>
      <c r="AO81" s="14" t="n">
        <f aca="false">IF(AND(OR(fCat="All",F81=fCat),OR(fCust="All",D81=fCust),OR(fReg="All",E81=fReg)),1,0)</f>
        <v>1</v>
      </c>
      <c r="AP81" s="14" t="n">
        <f aca="false">IF(AND(AL81=1,AO81=1),AM81+ROW()/100000,0)</f>
        <v>0</v>
      </c>
    </row>
    <row r="82" customFormat="false" ht="15" hidden="false" customHeight="false" outlineLevel="0" collapsed="false">
      <c r="A82" s="14" t="s">
        <v>459</v>
      </c>
      <c r="B82" s="15" t="n">
        <v>46136</v>
      </c>
      <c r="C82" s="14" t="s">
        <v>144</v>
      </c>
      <c r="D82" s="14" t="s">
        <v>90</v>
      </c>
      <c r="E82" s="14" t="s">
        <v>91</v>
      </c>
      <c r="F82" s="14" t="s">
        <v>103</v>
      </c>
      <c r="G82" s="14" t="n">
        <v>2</v>
      </c>
      <c r="H82" s="16" t="n">
        <v>1116000</v>
      </c>
      <c r="I82" s="15" t="n">
        <v>46157</v>
      </c>
      <c r="J82" s="15" t="n">
        <v>46154</v>
      </c>
      <c r="K82" s="15" t="n">
        <v>46155</v>
      </c>
      <c r="L82" s="15" t="n">
        <v>46162</v>
      </c>
      <c r="M82" s="15" t="n">
        <v>46170</v>
      </c>
      <c r="N82" s="14" t="s">
        <v>75</v>
      </c>
      <c r="O82" s="14"/>
      <c r="P82" s="14"/>
      <c r="Q82" s="14"/>
      <c r="R82" s="14"/>
      <c r="S82" s="14" t="s">
        <v>745</v>
      </c>
      <c r="T82" s="14" t="n">
        <v>1</v>
      </c>
      <c r="U82" s="14" t="n">
        <v>1</v>
      </c>
      <c r="V82" s="14" t="n">
        <v>1</v>
      </c>
      <c r="W82" s="17" t="n">
        <f aca="false">DATE(YEAR(B82),MONTH(B82),1)</f>
        <v>46113</v>
      </c>
      <c r="X82" s="14" t="n">
        <f aca="false">IF(AND(N82&lt;&gt;"Cancelled",I82&lt;=AsOf),1,0)</f>
        <v>1</v>
      </c>
      <c r="Y82" s="14" t="n">
        <f aca="false">IF(AND(N82&lt;&gt;"Cancelled",OR(ISNUMBER(K82),N82="Completed")),1,0)</f>
        <v>1</v>
      </c>
      <c r="Z82" s="14" t="n">
        <f aca="false">IF(AND(Y82=1,U82=1,ISNUMBER(K82)),K82-I82,"")</f>
        <v>-2</v>
      </c>
      <c r="AA82" s="14" t="str">
        <f aca="false">IF(Z82="","",IF(Z82&lt;0,"Early",IF(Z82=0,"On Time","Late")))</f>
        <v>Early</v>
      </c>
      <c r="AB82" s="14" t="n">
        <f aca="false">IF(AND(N82&lt;&gt;"Cancelled",L82&lt;=AsOf),1,0)</f>
        <v>1</v>
      </c>
      <c r="AC82" s="14" t="n">
        <f aca="false">IF(AND(N82&lt;&gt;"Cancelled",OR(ISNUMBER(M82),N82="Completed")),1,0)</f>
        <v>1</v>
      </c>
      <c r="AD82" s="14" t="n">
        <f aca="false">IF(AND(AC82=1,V82=1,ISNUMBER(M82)),M82-L82,"")</f>
        <v>8</v>
      </c>
      <c r="AE82" s="14" t="str">
        <f aca="false">IF(AD82="","",IF(AD82&lt;0,"Early",IF(AD82=0,"On Time","Late")))</f>
        <v>Late</v>
      </c>
      <c r="AF82" s="14" t="n">
        <f aca="false">IF(AND(T82=1,ISNUMBER(J82),N82&lt;&gt;"Cancelled"),J82-B82,"")</f>
        <v>18</v>
      </c>
      <c r="AG82" s="14" t="n">
        <f aca="false">IF(AND(AF82&lt;&gt;"",Z82&lt;&gt;""),K82-J82,"")</f>
        <v>1</v>
      </c>
      <c r="AH82" s="14" t="n">
        <f aca="false">IF(AND(Z82&lt;&gt;"",AD82&lt;&gt;""),M82-K82,"")</f>
        <v>15</v>
      </c>
      <c r="AI82" s="14" t="n">
        <f aca="false">IF(Z82&lt;&gt;"",K82-B82,"")</f>
        <v>19</v>
      </c>
      <c r="AJ82" s="14" t="n">
        <f aca="false">IF(AND(N82="Completed",AD82&lt;&gt;""),M82-B82,"")</f>
        <v>34</v>
      </c>
      <c r="AK82" s="14" t="str">
        <f aca="false">IF(N82="Cancelled","Cancelled",IF(N82="Completed","Completed",IF(Y82=1,"Awaiting Installation",IF(ISNUMBER(J82),"In Transit","In Production"))))</f>
        <v>Completed</v>
      </c>
      <c r="AL82" s="18" t="n">
        <f aca="false">IF(AND(N82="Pending",OR(AND(Y82=0,I82&lt;AsOf),AND(Y82=1,L82&lt;AsOf))),1,0)</f>
        <v>0</v>
      </c>
      <c r="AM82" s="14" t="str">
        <f aca="false">IF(AL82=1,IF(Y82=0,AsOf-I82,AsOf-L82),"")</f>
        <v/>
      </c>
      <c r="AN82" s="14" t="str">
        <f aca="false">IF(AL82=1,IF(Y82=0,"Delivery","Installation"),"")</f>
        <v/>
      </c>
      <c r="AO82" s="14" t="n">
        <f aca="false">IF(AND(OR(fCat="All",F82=fCat),OR(fCust="All",D82=fCust),OR(fReg="All",E82=fReg)),1,0)</f>
        <v>1</v>
      </c>
      <c r="AP82" s="14" t="n">
        <f aca="false">IF(AND(AL82=1,AO82=1),AM82+ROW()/100000,0)</f>
        <v>0</v>
      </c>
    </row>
    <row r="83" customFormat="false" ht="15" hidden="false" customHeight="false" outlineLevel="0" collapsed="false">
      <c r="A83" s="14" t="s">
        <v>462</v>
      </c>
      <c r="B83" s="15" t="n">
        <v>46136</v>
      </c>
      <c r="C83" s="14" t="s">
        <v>463</v>
      </c>
      <c r="D83" s="14" t="s">
        <v>149</v>
      </c>
      <c r="E83" s="14" t="s">
        <v>91</v>
      </c>
      <c r="F83" s="14" t="s">
        <v>150</v>
      </c>
      <c r="G83" s="14" t="n">
        <v>1</v>
      </c>
      <c r="H83" s="16" t="n">
        <v>233000</v>
      </c>
      <c r="I83" s="15" t="n">
        <v>46150</v>
      </c>
      <c r="J83" s="15" t="n">
        <v>46023</v>
      </c>
      <c r="K83" s="15" t="n">
        <v>46152</v>
      </c>
      <c r="L83" s="15" t="n">
        <v>46153</v>
      </c>
      <c r="M83" s="15" t="n">
        <v>46153</v>
      </c>
      <c r="N83" s="14" t="s">
        <v>75</v>
      </c>
      <c r="O83" s="14"/>
      <c r="P83" s="14"/>
      <c r="Q83" s="14"/>
      <c r="R83" s="14" t="s">
        <v>134</v>
      </c>
      <c r="S83" s="14" t="s">
        <v>752</v>
      </c>
      <c r="T83" s="14" t="n">
        <v>0</v>
      </c>
      <c r="U83" s="14" t="n">
        <v>1</v>
      </c>
      <c r="V83" s="14" t="n">
        <v>1</v>
      </c>
      <c r="W83" s="17" t="n">
        <f aca="false">DATE(YEAR(B83),MONTH(B83),1)</f>
        <v>46113</v>
      </c>
      <c r="X83" s="14" t="n">
        <f aca="false">IF(AND(N83&lt;&gt;"Cancelled",I83&lt;=AsOf),1,0)</f>
        <v>1</v>
      </c>
      <c r="Y83" s="14" t="n">
        <f aca="false">IF(AND(N83&lt;&gt;"Cancelled",OR(ISNUMBER(K83),N83="Completed")),1,0)</f>
        <v>1</v>
      </c>
      <c r="Z83" s="14" t="n">
        <f aca="false">IF(AND(Y83=1,U83=1,ISNUMBER(K83)),K83-I83,"")</f>
        <v>2</v>
      </c>
      <c r="AA83" s="14" t="str">
        <f aca="false">IF(Z83="","",IF(Z83&lt;0,"Early",IF(Z83=0,"On Time","Late")))</f>
        <v>Late</v>
      </c>
      <c r="AB83" s="14" t="n">
        <f aca="false">IF(AND(N83&lt;&gt;"Cancelled",L83&lt;=AsOf),1,0)</f>
        <v>1</v>
      </c>
      <c r="AC83" s="14" t="n">
        <f aca="false">IF(AND(N83&lt;&gt;"Cancelled",OR(ISNUMBER(M83),N83="Completed")),1,0)</f>
        <v>1</v>
      </c>
      <c r="AD83" s="14" t="n">
        <f aca="false">IF(AND(AC83=1,V83=1,ISNUMBER(M83)),M83-L83,"")</f>
        <v>0</v>
      </c>
      <c r="AE83" s="14" t="str">
        <f aca="false">IF(AD83="","",IF(AD83&lt;0,"Early",IF(AD83=0,"On Time","Late")))</f>
        <v>On Time</v>
      </c>
      <c r="AF83" s="14" t="str">
        <f aca="false">IF(AND(T83=1,ISNUMBER(J83),N83&lt;&gt;"Cancelled"),J83-B83,"")</f>
        <v/>
      </c>
      <c r="AG83" s="14" t="str">
        <f aca="false">IF(AND(AF83&lt;&gt;"",Z83&lt;&gt;""),K83-J83,"")</f>
        <v/>
      </c>
      <c r="AH83" s="14" t="n">
        <f aca="false">IF(AND(Z83&lt;&gt;"",AD83&lt;&gt;""),M83-K83,"")</f>
        <v>1</v>
      </c>
      <c r="AI83" s="14" t="n">
        <f aca="false">IF(Z83&lt;&gt;"",K83-B83,"")</f>
        <v>16</v>
      </c>
      <c r="AJ83" s="14" t="n">
        <f aca="false">IF(AND(N83="Completed",AD83&lt;&gt;""),M83-B83,"")</f>
        <v>17</v>
      </c>
      <c r="AK83" s="14" t="str">
        <f aca="false">IF(N83="Cancelled","Cancelled",IF(N83="Completed","Completed",IF(Y83=1,"Awaiting Installation",IF(ISNUMBER(J83),"In Transit","In Production"))))</f>
        <v>Completed</v>
      </c>
      <c r="AL83" s="18" t="n">
        <f aca="false">IF(AND(N83="Pending",OR(AND(Y83=0,I83&lt;AsOf),AND(Y83=1,L83&lt;AsOf))),1,0)</f>
        <v>0</v>
      </c>
      <c r="AM83" s="14" t="str">
        <f aca="false">IF(AL83=1,IF(Y83=0,AsOf-I83,AsOf-L83),"")</f>
        <v/>
      </c>
      <c r="AN83" s="14" t="str">
        <f aca="false">IF(AL83=1,IF(Y83=0,"Delivery","Installation"),"")</f>
        <v/>
      </c>
      <c r="AO83" s="14" t="n">
        <f aca="false">IF(AND(OR(fCat="All",F83=fCat),OR(fCust="All",D83=fCust),OR(fReg="All",E83=fReg)),1,0)</f>
        <v>1</v>
      </c>
      <c r="AP83" s="14" t="n">
        <f aca="false">IF(AND(AL83=1,AO83=1),AM83+ROW()/100000,0)</f>
        <v>0</v>
      </c>
    </row>
    <row r="84" customFormat="false" ht="15" hidden="false" customHeight="false" outlineLevel="0" collapsed="false">
      <c r="A84" s="14" t="s">
        <v>466</v>
      </c>
      <c r="B84" s="15" t="n">
        <v>46138</v>
      </c>
      <c r="C84" s="14" t="s">
        <v>467</v>
      </c>
      <c r="D84" s="14" t="s">
        <v>90</v>
      </c>
      <c r="E84" s="14" t="s">
        <v>66</v>
      </c>
      <c r="F84" s="14" t="s">
        <v>150</v>
      </c>
      <c r="G84" s="14" t="n">
        <v>1</v>
      </c>
      <c r="H84" s="16" t="n">
        <v>593000</v>
      </c>
      <c r="I84" s="15" t="n">
        <v>46156</v>
      </c>
      <c r="J84" s="15" t="n">
        <v>46140</v>
      </c>
      <c r="K84" s="15" t="n">
        <v>46150</v>
      </c>
      <c r="L84" s="15" t="n">
        <v>46159</v>
      </c>
      <c r="M84" s="15" t="n">
        <v>46152</v>
      </c>
      <c r="N84" s="14" t="s">
        <v>75</v>
      </c>
      <c r="O84" s="14"/>
      <c r="P84" s="14"/>
      <c r="Q84" s="14"/>
      <c r="R84" s="14" t="s">
        <v>168</v>
      </c>
      <c r="S84" s="14" t="s">
        <v>745</v>
      </c>
      <c r="T84" s="14" t="n">
        <v>1</v>
      </c>
      <c r="U84" s="14" t="n">
        <v>1</v>
      </c>
      <c r="V84" s="14" t="n">
        <v>1</v>
      </c>
      <c r="W84" s="17" t="n">
        <f aca="false">DATE(YEAR(B84),MONTH(B84),1)</f>
        <v>46113</v>
      </c>
      <c r="X84" s="14" t="n">
        <f aca="false">IF(AND(N84&lt;&gt;"Cancelled",I84&lt;=AsOf),1,0)</f>
        <v>1</v>
      </c>
      <c r="Y84" s="14" t="n">
        <f aca="false">IF(AND(N84&lt;&gt;"Cancelled",OR(ISNUMBER(K84),N84="Completed")),1,0)</f>
        <v>1</v>
      </c>
      <c r="Z84" s="14" t="n">
        <f aca="false">IF(AND(Y84=1,U84=1,ISNUMBER(K84)),K84-I84,"")</f>
        <v>-6</v>
      </c>
      <c r="AA84" s="14" t="str">
        <f aca="false">IF(Z84="","",IF(Z84&lt;0,"Early",IF(Z84=0,"On Time","Late")))</f>
        <v>Early</v>
      </c>
      <c r="AB84" s="14" t="n">
        <f aca="false">IF(AND(N84&lt;&gt;"Cancelled",L84&lt;=AsOf),1,0)</f>
        <v>1</v>
      </c>
      <c r="AC84" s="14" t="n">
        <f aca="false">IF(AND(N84&lt;&gt;"Cancelled",OR(ISNUMBER(M84),N84="Completed")),1,0)</f>
        <v>1</v>
      </c>
      <c r="AD84" s="14" t="n">
        <f aca="false">IF(AND(AC84=1,V84=1,ISNUMBER(M84)),M84-L84,"")</f>
        <v>-7</v>
      </c>
      <c r="AE84" s="14" t="str">
        <f aca="false">IF(AD84="","",IF(AD84&lt;0,"Early",IF(AD84=0,"On Time","Late")))</f>
        <v>Early</v>
      </c>
      <c r="AF84" s="14" t="n">
        <f aca="false">IF(AND(T84=1,ISNUMBER(J84),N84&lt;&gt;"Cancelled"),J84-B84,"")</f>
        <v>2</v>
      </c>
      <c r="AG84" s="14" t="n">
        <f aca="false">IF(AND(AF84&lt;&gt;"",Z84&lt;&gt;""),K84-J84,"")</f>
        <v>10</v>
      </c>
      <c r="AH84" s="14" t="n">
        <f aca="false">IF(AND(Z84&lt;&gt;"",AD84&lt;&gt;""),M84-K84,"")</f>
        <v>2</v>
      </c>
      <c r="AI84" s="14" t="n">
        <f aca="false">IF(Z84&lt;&gt;"",K84-B84,"")</f>
        <v>12</v>
      </c>
      <c r="AJ84" s="14" t="n">
        <f aca="false">IF(AND(N84="Completed",AD84&lt;&gt;""),M84-B84,"")</f>
        <v>14</v>
      </c>
      <c r="AK84" s="14" t="str">
        <f aca="false">IF(N84="Cancelled","Cancelled",IF(N84="Completed","Completed",IF(Y84=1,"Awaiting Installation",IF(ISNUMBER(J84),"In Transit","In Production"))))</f>
        <v>Completed</v>
      </c>
      <c r="AL84" s="18" t="n">
        <f aca="false">IF(AND(N84="Pending",OR(AND(Y84=0,I84&lt;AsOf),AND(Y84=1,L84&lt;AsOf))),1,0)</f>
        <v>0</v>
      </c>
      <c r="AM84" s="14" t="str">
        <f aca="false">IF(AL84=1,IF(Y84=0,AsOf-I84,AsOf-L84),"")</f>
        <v/>
      </c>
      <c r="AN84" s="14" t="str">
        <f aca="false">IF(AL84=1,IF(Y84=0,"Delivery","Installation"),"")</f>
        <v/>
      </c>
      <c r="AO84" s="14" t="n">
        <f aca="false">IF(AND(OR(fCat="All",F84=fCat),OR(fCust="All",D84=fCust),OR(fReg="All",E84=fReg)),1,0)</f>
        <v>1</v>
      </c>
      <c r="AP84" s="14" t="n">
        <f aca="false">IF(AND(AL84=1,AO84=1),AM84+ROW()/100000,0)</f>
        <v>0</v>
      </c>
    </row>
    <row r="85" customFormat="false" ht="15" hidden="false" customHeight="false" outlineLevel="0" collapsed="false">
      <c r="A85" s="14" t="s">
        <v>470</v>
      </c>
      <c r="B85" s="15" t="n">
        <v>46139</v>
      </c>
      <c r="C85" s="14" t="s">
        <v>472</v>
      </c>
      <c r="D85" s="14" t="s">
        <v>149</v>
      </c>
      <c r="E85" s="14" t="s">
        <v>91</v>
      </c>
      <c r="F85" s="14" t="s">
        <v>160</v>
      </c>
      <c r="G85" s="14" t="n">
        <v>1</v>
      </c>
      <c r="H85" s="16" t="n">
        <v>117000</v>
      </c>
      <c r="I85" s="15" t="n">
        <v>46149</v>
      </c>
      <c r="J85" s="15" t="n">
        <v>46144</v>
      </c>
      <c r="K85" s="15" t="n">
        <v>46145</v>
      </c>
      <c r="L85" s="15" t="n">
        <v>46152</v>
      </c>
      <c r="M85" s="15" t="n">
        <v>46155</v>
      </c>
      <c r="N85" s="14" t="s">
        <v>75</v>
      </c>
      <c r="O85" s="14"/>
      <c r="P85" s="14" t="s">
        <v>183</v>
      </c>
      <c r="Q85" s="14"/>
      <c r="R85" s="14"/>
      <c r="S85" s="14" t="s">
        <v>745</v>
      </c>
      <c r="T85" s="14" t="n">
        <v>1</v>
      </c>
      <c r="U85" s="14" t="n">
        <v>1</v>
      </c>
      <c r="V85" s="14" t="n">
        <v>1</v>
      </c>
      <c r="W85" s="17" t="n">
        <f aca="false">DATE(YEAR(B85),MONTH(B85),1)</f>
        <v>46113</v>
      </c>
      <c r="X85" s="14" t="n">
        <f aca="false">IF(AND(N85&lt;&gt;"Cancelled",I85&lt;=AsOf),1,0)</f>
        <v>1</v>
      </c>
      <c r="Y85" s="14" t="n">
        <f aca="false">IF(AND(N85&lt;&gt;"Cancelled",OR(ISNUMBER(K85),N85="Completed")),1,0)</f>
        <v>1</v>
      </c>
      <c r="Z85" s="14" t="n">
        <f aca="false">IF(AND(Y85=1,U85=1,ISNUMBER(K85)),K85-I85,"")</f>
        <v>-4</v>
      </c>
      <c r="AA85" s="14" t="str">
        <f aca="false">IF(Z85="","",IF(Z85&lt;0,"Early",IF(Z85=0,"On Time","Late")))</f>
        <v>Early</v>
      </c>
      <c r="AB85" s="14" t="n">
        <f aca="false">IF(AND(N85&lt;&gt;"Cancelled",L85&lt;=AsOf),1,0)</f>
        <v>1</v>
      </c>
      <c r="AC85" s="14" t="n">
        <f aca="false">IF(AND(N85&lt;&gt;"Cancelled",OR(ISNUMBER(M85),N85="Completed")),1,0)</f>
        <v>1</v>
      </c>
      <c r="AD85" s="14" t="n">
        <f aca="false">IF(AND(AC85=1,V85=1,ISNUMBER(M85)),M85-L85,"")</f>
        <v>3</v>
      </c>
      <c r="AE85" s="14" t="str">
        <f aca="false">IF(AD85="","",IF(AD85&lt;0,"Early",IF(AD85=0,"On Time","Late")))</f>
        <v>Late</v>
      </c>
      <c r="AF85" s="14" t="n">
        <f aca="false">IF(AND(T85=1,ISNUMBER(J85),N85&lt;&gt;"Cancelled"),J85-B85,"")</f>
        <v>5</v>
      </c>
      <c r="AG85" s="14" t="n">
        <f aca="false">IF(AND(AF85&lt;&gt;"",Z85&lt;&gt;""),K85-J85,"")</f>
        <v>1</v>
      </c>
      <c r="AH85" s="14" t="n">
        <f aca="false">IF(AND(Z85&lt;&gt;"",AD85&lt;&gt;""),M85-K85,"")</f>
        <v>10</v>
      </c>
      <c r="AI85" s="14" t="n">
        <f aca="false">IF(Z85&lt;&gt;"",K85-B85,"")</f>
        <v>6</v>
      </c>
      <c r="AJ85" s="14" t="n">
        <f aca="false">IF(AND(N85="Completed",AD85&lt;&gt;""),M85-B85,"")</f>
        <v>16</v>
      </c>
      <c r="AK85" s="14" t="str">
        <f aca="false">IF(N85="Cancelled","Cancelled",IF(N85="Completed","Completed",IF(Y85=1,"Awaiting Installation",IF(ISNUMBER(J85),"In Transit","In Production"))))</f>
        <v>Completed</v>
      </c>
      <c r="AL85" s="18" t="n">
        <f aca="false">IF(AND(N85="Pending",OR(AND(Y85=0,I85&lt;AsOf),AND(Y85=1,L85&lt;AsOf))),1,0)</f>
        <v>0</v>
      </c>
      <c r="AM85" s="14" t="str">
        <f aca="false">IF(AL85=1,IF(Y85=0,AsOf-I85,AsOf-L85),"")</f>
        <v/>
      </c>
      <c r="AN85" s="14" t="str">
        <f aca="false">IF(AL85=1,IF(Y85=0,"Delivery","Installation"),"")</f>
        <v/>
      </c>
      <c r="AO85" s="14" t="n">
        <f aca="false">IF(AND(OR(fCat="All",F85=fCat),OR(fCust="All",D85=fCust),OR(fReg="All",E85=fReg)),1,0)</f>
        <v>1</v>
      </c>
      <c r="AP85" s="14" t="n">
        <f aca="false">IF(AND(AL85=1,AO85=1),AM85+ROW()/100000,0)</f>
        <v>0</v>
      </c>
    </row>
    <row r="86" customFormat="false" ht="15" hidden="false" customHeight="false" outlineLevel="0" collapsed="false">
      <c r="A86" s="14" t="s">
        <v>473</v>
      </c>
      <c r="B86" s="15" t="n">
        <v>46139</v>
      </c>
      <c r="C86" s="14" t="s">
        <v>474</v>
      </c>
      <c r="D86" s="14" t="s">
        <v>90</v>
      </c>
      <c r="E86" s="14" t="s">
        <v>91</v>
      </c>
      <c r="F86" s="14" t="s">
        <v>67</v>
      </c>
      <c r="G86" s="14" t="n">
        <v>2</v>
      </c>
      <c r="H86" s="16" t="n">
        <v>944000</v>
      </c>
      <c r="I86" s="15" t="n">
        <v>46157</v>
      </c>
      <c r="J86" s="15" t="n">
        <v>46147</v>
      </c>
      <c r="K86" s="15" t="n">
        <v>46149</v>
      </c>
      <c r="L86" s="15" t="n">
        <v>46162</v>
      </c>
      <c r="M86" s="15"/>
      <c r="N86" s="14" t="s">
        <v>328</v>
      </c>
      <c r="O86" s="14"/>
      <c r="P86" s="14"/>
      <c r="Q86" s="14"/>
      <c r="R86" s="14" t="s">
        <v>86</v>
      </c>
      <c r="S86" s="14" t="s">
        <v>745</v>
      </c>
      <c r="T86" s="14" t="n">
        <v>1</v>
      </c>
      <c r="U86" s="14" t="n">
        <v>1</v>
      </c>
      <c r="V86" s="14" t="n">
        <v>1</v>
      </c>
      <c r="W86" s="17" t="n">
        <f aca="false">DATE(YEAR(B86),MONTH(B86),1)</f>
        <v>46113</v>
      </c>
      <c r="X86" s="14" t="n">
        <f aca="false">IF(AND(N86&lt;&gt;"Cancelled",I86&lt;=AsOf),1,0)</f>
        <v>1</v>
      </c>
      <c r="Y86" s="14" t="n">
        <f aca="false">IF(AND(N86&lt;&gt;"Cancelled",OR(ISNUMBER(K86),N86="Completed")),1,0)</f>
        <v>1</v>
      </c>
      <c r="Z86" s="14" t="n">
        <f aca="false">IF(AND(Y86=1,U86=1,ISNUMBER(K86)),K86-I86,"")</f>
        <v>-8</v>
      </c>
      <c r="AA86" s="14" t="str">
        <f aca="false">IF(Z86="","",IF(Z86&lt;0,"Early",IF(Z86=0,"On Time","Late")))</f>
        <v>Early</v>
      </c>
      <c r="AB86" s="14" t="n">
        <f aca="false">IF(AND(N86&lt;&gt;"Cancelled",L86&lt;=AsOf),1,0)</f>
        <v>1</v>
      </c>
      <c r="AC86" s="14" t="n">
        <f aca="false">IF(AND(N86&lt;&gt;"Cancelled",OR(ISNUMBER(M86),N86="Completed")),1,0)</f>
        <v>0</v>
      </c>
      <c r="AD86" s="14" t="str">
        <f aca="false">IF(AND(AC86=1,V86=1,ISNUMBER(M86)),M86-L86,"")</f>
        <v/>
      </c>
      <c r="AE86" s="14" t="str">
        <f aca="false">IF(AD86="","",IF(AD86&lt;0,"Early",IF(AD86=0,"On Time","Late")))</f>
        <v/>
      </c>
      <c r="AF86" s="14" t="n">
        <f aca="false">IF(AND(T86=1,ISNUMBER(J86),N86&lt;&gt;"Cancelled"),J86-B86,"")</f>
        <v>8</v>
      </c>
      <c r="AG86" s="14" t="n">
        <f aca="false">IF(AND(AF86&lt;&gt;"",Z86&lt;&gt;""),K86-J86,"")</f>
        <v>2</v>
      </c>
      <c r="AH86" s="14" t="str">
        <f aca="false">IF(AND(Z86&lt;&gt;"",AD86&lt;&gt;""),M86-K86,"")</f>
        <v/>
      </c>
      <c r="AI86" s="14" t="n">
        <f aca="false">IF(Z86&lt;&gt;"",K86-B86,"")</f>
        <v>10</v>
      </c>
      <c r="AJ86" s="14" t="str">
        <f aca="false">IF(AND(N86="Completed",AD86&lt;&gt;""),M86-B86,"")</f>
        <v/>
      </c>
      <c r="AK86" s="14" t="str">
        <f aca="false">IF(N86="Cancelled","Cancelled",IF(N86="Completed","Completed",IF(Y86=1,"Awaiting Installation",IF(ISNUMBER(J86),"In Transit","In Production"))))</f>
        <v>Awaiting Installation</v>
      </c>
      <c r="AL86" s="18" t="n">
        <f aca="false">IF(AND(N86="Pending",OR(AND(Y86=0,I86&lt;AsOf),AND(Y86=1,L86&lt;AsOf))),1,0)</f>
        <v>1</v>
      </c>
      <c r="AM86" s="14" t="n">
        <f aca="false">IF(AL86=1,IF(Y86=0,AsOf-I86,AsOf-L86),"")</f>
        <v>41</v>
      </c>
      <c r="AN86" s="14" t="str">
        <f aca="false">IF(AL86=1,IF(Y86=0,"Delivery","Installation"),"")</f>
        <v>Installation</v>
      </c>
      <c r="AO86" s="14" t="n">
        <f aca="false">IF(AND(OR(fCat="All",F86=fCat),OR(fCust="All",D86=fCust),OR(fReg="All",E86=fReg)),1,0)</f>
        <v>1</v>
      </c>
      <c r="AP86" s="14" t="n">
        <f aca="false">IF(AND(AL86=1,AO86=1),AM86+ROW()/100000,0)</f>
        <v>41.00086</v>
      </c>
    </row>
    <row r="87" customFormat="false" ht="15" hidden="false" customHeight="false" outlineLevel="0" collapsed="false">
      <c r="A87" s="14" t="s">
        <v>476</v>
      </c>
      <c r="B87" s="15" t="n">
        <v>46139</v>
      </c>
      <c r="C87" s="14" t="s">
        <v>477</v>
      </c>
      <c r="D87" s="14" t="s">
        <v>90</v>
      </c>
      <c r="E87" s="14" t="s">
        <v>91</v>
      </c>
      <c r="F87" s="14" t="s">
        <v>160</v>
      </c>
      <c r="G87" s="14" t="n">
        <v>2</v>
      </c>
      <c r="H87" s="16" t="n">
        <v>328000</v>
      </c>
      <c r="I87" s="15" t="n">
        <v>46149</v>
      </c>
      <c r="J87" s="15" t="n">
        <v>46143</v>
      </c>
      <c r="K87" s="15" t="n">
        <v>46145</v>
      </c>
      <c r="L87" s="15" t="n">
        <v>46152</v>
      </c>
      <c r="M87" s="15" t="n">
        <v>46157</v>
      </c>
      <c r="N87" s="14" t="s">
        <v>75</v>
      </c>
      <c r="O87" s="14"/>
      <c r="P87" s="14" t="s">
        <v>183</v>
      </c>
      <c r="Q87" s="14"/>
      <c r="R87" s="14" t="s">
        <v>98</v>
      </c>
      <c r="S87" s="14" t="s">
        <v>745</v>
      </c>
      <c r="T87" s="14" t="n">
        <v>1</v>
      </c>
      <c r="U87" s="14" t="n">
        <v>1</v>
      </c>
      <c r="V87" s="14" t="n">
        <v>1</v>
      </c>
      <c r="W87" s="17" t="n">
        <f aca="false">DATE(YEAR(B87),MONTH(B87),1)</f>
        <v>46113</v>
      </c>
      <c r="X87" s="14" t="n">
        <f aca="false">IF(AND(N87&lt;&gt;"Cancelled",I87&lt;=AsOf),1,0)</f>
        <v>1</v>
      </c>
      <c r="Y87" s="14" t="n">
        <f aca="false">IF(AND(N87&lt;&gt;"Cancelled",OR(ISNUMBER(K87),N87="Completed")),1,0)</f>
        <v>1</v>
      </c>
      <c r="Z87" s="14" t="n">
        <f aca="false">IF(AND(Y87=1,U87=1,ISNUMBER(K87)),K87-I87,"")</f>
        <v>-4</v>
      </c>
      <c r="AA87" s="14" t="str">
        <f aca="false">IF(Z87="","",IF(Z87&lt;0,"Early",IF(Z87=0,"On Time","Late")))</f>
        <v>Early</v>
      </c>
      <c r="AB87" s="14" t="n">
        <f aca="false">IF(AND(N87&lt;&gt;"Cancelled",L87&lt;=AsOf),1,0)</f>
        <v>1</v>
      </c>
      <c r="AC87" s="14" t="n">
        <f aca="false">IF(AND(N87&lt;&gt;"Cancelled",OR(ISNUMBER(M87),N87="Completed")),1,0)</f>
        <v>1</v>
      </c>
      <c r="AD87" s="14" t="n">
        <f aca="false">IF(AND(AC87=1,V87=1,ISNUMBER(M87)),M87-L87,"")</f>
        <v>5</v>
      </c>
      <c r="AE87" s="14" t="str">
        <f aca="false">IF(AD87="","",IF(AD87&lt;0,"Early",IF(AD87=0,"On Time","Late")))</f>
        <v>Late</v>
      </c>
      <c r="AF87" s="14" t="n">
        <f aca="false">IF(AND(T87=1,ISNUMBER(J87),N87&lt;&gt;"Cancelled"),J87-B87,"")</f>
        <v>4</v>
      </c>
      <c r="AG87" s="14" t="n">
        <f aca="false">IF(AND(AF87&lt;&gt;"",Z87&lt;&gt;""),K87-J87,"")</f>
        <v>2</v>
      </c>
      <c r="AH87" s="14" t="n">
        <f aca="false">IF(AND(Z87&lt;&gt;"",AD87&lt;&gt;""),M87-K87,"")</f>
        <v>12</v>
      </c>
      <c r="AI87" s="14" t="n">
        <f aca="false">IF(Z87&lt;&gt;"",K87-B87,"")</f>
        <v>6</v>
      </c>
      <c r="AJ87" s="14" t="n">
        <f aca="false">IF(AND(N87="Completed",AD87&lt;&gt;""),M87-B87,"")</f>
        <v>18</v>
      </c>
      <c r="AK87" s="14" t="str">
        <f aca="false">IF(N87="Cancelled","Cancelled",IF(N87="Completed","Completed",IF(Y87=1,"Awaiting Installation",IF(ISNUMBER(J87),"In Transit","In Production"))))</f>
        <v>Completed</v>
      </c>
      <c r="AL87" s="18" t="n">
        <f aca="false">IF(AND(N87="Pending",OR(AND(Y87=0,I87&lt;AsOf),AND(Y87=1,L87&lt;AsOf))),1,0)</f>
        <v>0</v>
      </c>
      <c r="AM87" s="14" t="str">
        <f aca="false">IF(AL87=1,IF(Y87=0,AsOf-I87,AsOf-L87),"")</f>
        <v/>
      </c>
      <c r="AN87" s="14" t="str">
        <f aca="false">IF(AL87=1,IF(Y87=0,"Delivery","Installation"),"")</f>
        <v/>
      </c>
      <c r="AO87" s="14" t="n">
        <f aca="false">IF(AND(OR(fCat="All",F87=fCat),OR(fCust="All",D87=fCust),OR(fReg="All",E87=fReg)),1,0)</f>
        <v>1</v>
      </c>
      <c r="AP87" s="14" t="n">
        <f aca="false">IF(AND(AL87=1,AO87=1),AM87+ROW()/100000,0)</f>
        <v>0</v>
      </c>
    </row>
    <row r="88" customFormat="false" ht="15" hidden="false" customHeight="false" outlineLevel="0" collapsed="false">
      <c r="A88" s="14" t="s">
        <v>479</v>
      </c>
      <c r="B88" s="15" t="n">
        <v>46139</v>
      </c>
      <c r="C88" s="14" t="s">
        <v>467</v>
      </c>
      <c r="D88" s="14" t="s">
        <v>90</v>
      </c>
      <c r="E88" s="14" t="s">
        <v>91</v>
      </c>
      <c r="F88" s="14" t="s">
        <v>67</v>
      </c>
      <c r="G88" s="14" t="n">
        <v>3</v>
      </c>
      <c r="H88" s="16" t="n">
        <v>1158000</v>
      </c>
      <c r="I88" s="15" t="n">
        <v>46157</v>
      </c>
      <c r="J88" s="15" t="n">
        <v>46147</v>
      </c>
      <c r="K88" s="15" t="n">
        <v>46149</v>
      </c>
      <c r="L88" s="15" t="n">
        <v>46162</v>
      </c>
      <c r="M88" s="15" t="n">
        <v>46158</v>
      </c>
      <c r="N88" s="14" t="s">
        <v>75</v>
      </c>
      <c r="O88" s="14"/>
      <c r="P88" s="14"/>
      <c r="Q88" s="14"/>
      <c r="R88" s="14"/>
      <c r="S88" s="14" t="s">
        <v>745</v>
      </c>
      <c r="T88" s="14" t="n">
        <v>1</v>
      </c>
      <c r="U88" s="14" t="n">
        <v>1</v>
      </c>
      <c r="V88" s="14" t="n">
        <v>1</v>
      </c>
      <c r="W88" s="17" t="n">
        <f aca="false">DATE(YEAR(B88),MONTH(B88),1)</f>
        <v>46113</v>
      </c>
      <c r="X88" s="14" t="n">
        <f aca="false">IF(AND(N88&lt;&gt;"Cancelled",I88&lt;=AsOf),1,0)</f>
        <v>1</v>
      </c>
      <c r="Y88" s="14" t="n">
        <f aca="false">IF(AND(N88&lt;&gt;"Cancelled",OR(ISNUMBER(K88),N88="Completed")),1,0)</f>
        <v>1</v>
      </c>
      <c r="Z88" s="14" t="n">
        <f aca="false">IF(AND(Y88=1,U88=1,ISNUMBER(K88)),K88-I88,"")</f>
        <v>-8</v>
      </c>
      <c r="AA88" s="14" t="str">
        <f aca="false">IF(Z88="","",IF(Z88&lt;0,"Early",IF(Z88=0,"On Time","Late")))</f>
        <v>Early</v>
      </c>
      <c r="AB88" s="14" t="n">
        <f aca="false">IF(AND(N88&lt;&gt;"Cancelled",L88&lt;=AsOf),1,0)</f>
        <v>1</v>
      </c>
      <c r="AC88" s="14" t="n">
        <f aca="false">IF(AND(N88&lt;&gt;"Cancelled",OR(ISNUMBER(M88),N88="Completed")),1,0)</f>
        <v>1</v>
      </c>
      <c r="AD88" s="14" t="n">
        <f aca="false">IF(AND(AC88=1,V88=1,ISNUMBER(M88)),M88-L88,"")</f>
        <v>-4</v>
      </c>
      <c r="AE88" s="14" t="str">
        <f aca="false">IF(AD88="","",IF(AD88&lt;0,"Early",IF(AD88=0,"On Time","Late")))</f>
        <v>Early</v>
      </c>
      <c r="AF88" s="14" t="n">
        <f aca="false">IF(AND(T88=1,ISNUMBER(J88),N88&lt;&gt;"Cancelled"),J88-B88,"")</f>
        <v>8</v>
      </c>
      <c r="AG88" s="14" t="n">
        <f aca="false">IF(AND(AF88&lt;&gt;"",Z88&lt;&gt;""),K88-J88,"")</f>
        <v>2</v>
      </c>
      <c r="AH88" s="14" t="n">
        <f aca="false">IF(AND(Z88&lt;&gt;"",AD88&lt;&gt;""),M88-K88,"")</f>
        <v>9</v>
      </c>
      <c r="AI88" s="14" t="n">
        <f aca="false">IF(Z88&lt;&gt;"",K88-B88,"")</f>
        <v>10</v>
      </c>
      <c r="AJ88" s="14" t="n">
        <f aca="false">IF(AND(N88="Completed",AD88&lt;&gt;""),M88-B88,"")</f>
        <v>19</v>
      </c>
      <c r="AK88" s="14" t="str">
        <f aca="false">IF(N88="Cancelled","Cancelled",IF(N88="Completed","Completed",IF(Y88=1,"Awaiting Installation",IF(ISNUMBER(J88),"In Transit","In Production"))))</f>
        <v>Completed</v>
      </c>
      <c r="AL88" s="18" t="n">
        <f aca="false">IF(AND(N88="Pending",OR(AND(Y88=0,I88&lt;AsOf),AND(Y88=1,L88&lt;AsOf))),1,0)</f>
        <v>0</v>
      </c>
      <c r="AM88" s="14" t="str">
        <f aca="false">IF(AL88=1,IF(Y88=0,AsOf-I88,AsOf-L88),"")</f>
        <v/>
      </c>
      <c r="AN88" s="14" t="str">
        <f aca="false">IF(AL88=1,IF(Y88=0,"Delivery","Installation"),"")</f>
        <v/>
      </c>
      <c r="AO88" s="14" t="n">
        <f aca="false">IF(AND(OR(fCat="All",F88=fCat),OR(fCust="All",D88=fCust),OR(fReg="All",E88=fReg)),1,0)</f>
        <v>1</v>
      </c>
      <c r="AP88" s="14" t="n">
        <f aca="false">IF(AND(AL88=1,AO88=1),AM88+ROW()/100000,0)</f>
        <v>0</v>
      </c>
    </row>
    <row r="89" customFormat="false" ht="15" hidden="false" customHeight="false" outlineLevel="0" collapsed="false">
      <c r="A89" s="14" t="s">
        <v>481</v>
      </c>
      <c r="B89" s="15" t="n">
        <v>46139</v>
      </c>
      <c r="C89" s="14" t="s">
        <v>482</v>
      </c>
      <c r="D89" s="14" t="s">
        <v>90</v>
      </c>
      <c r="E89" s="14" t="s">
        <v>91</v>
      </c>
      <c r="F89" s="14" t="s">
        <v>103</v>
      </c>
      <c r="G89" s="14" t="n">
        <v>1</v>
      </c>
      <c r="H89" s="16" t="n">
        <v>410000</v>
      </c>
      <c r="I89" s="15" t="n">
        <v>46160</v>
      </c>
      <c r="J89" s="15" t="n">
        <v>46158</v>
      </c>
      <c r="K89" s="15" t="n">
        <v>46160</v>
      </c>
      <c r="L89" s="15" t="n">
        <v>46165</v>
      </c>
      <c r="M89" s="15" t="n">
        <v>46163</v>
      </c>
      <c r="N89" s="14" t="s">
        <v>75</v>
      </c>
      <c r="O89" s="14"/>
      <c r="P89" s="14"/>
      <c r="Q89" s="14"/>
      <c r="R89" s="14" t="s">
        <v>98</v>
      </c>
      <c r="S89" s="14" t="s">
        <v>745</v>
      </c>
      <c r="T89" s="14" t="n">
        <v>1</v>
      </c>
      <c r="U89" s="14" t="n">
        <v>1</v>
      </c>
      <c r="V89" s="14" t="n">
        <v>1</v>
      </c>
      <c r="W89" s="17" t="n">
        <f aca="false">DATE(YEAR(B89),MONTH(B89),1)</f>
        <v>46113</v>
      </c>
      <c r="X89" s="14" t="n">
        <f aca="false">IF(AND(N89&lt;&gt;"Cancelled",I89&lt;=AsOf),1,0)</f>
        <v>1</v>
      </c>
      <c r="Y89" s="14" t="n">
        <f aca="false">IF(AND(N89&lt;&gt;"Cancelled",OR(ISNUMBER(K89),N89="Completed")),1,0)</f>
        <v>1</v>
      </c>
      <c r="Z89" s="14" t="n">
        <f aca="false">IF(AND(Y89=1,U89=1,ISNUMBER(K89)),K89-I89,"")</f>
        <v>0</v>
      </c>
      <c r="AA89" s="14" t="str">
        <f aca="false">IF(Z89="","",IF(Z89&lt;0,"Early",IF(Z89=0,"On Time","Late")))</f>
        <v>On Time</v>
      </c>
      <c r="AB89" s="14" t="n">
        <f aca="false">IF(AND(N89&lt;&gt;"Cancelled",L89&lt;=AsOf),1,0)</f>
        <v>1</v>
      </c>
      <c r="AC89" s="14" t="n">
        <f aca="false">IF(AND(N89&lt;&gt;"Cancelled",OR(ISNUMBER(M89),N89="Completed")),1,0)</f>
        <v>1</v>
      </c>
      <c r="AD89" s="14" t="n">
        <f aca="false">IF(AND(AC89=1,V89=1,ISNUMBER(M89)),M89-L89,"")</f>
        <v>-2</v>
      </c>
      <c r="AE89" s="14" t="str">
        <f aca="false">IF(AD89="","",IF(AD89&lt;0,"Early",IF(AD89=0,"On Time","Late")))</f>
        <v>Early</v>
      </c>
      <c r="AF89" s="14" t="n">
        <f aca="false">IF(AND(T89=1,ISNUMBER(J89),N89&lt;&gt;"Cancelled"),J89-B89,"")</f>
        <v>19</v>
      </c>
      <c r="AG89" s="14" t="n">
        <f aca="false">IF(AND(AF89&lt;&gt;"",Z89&lt;&gt;""),K89-J89,"")</f>
        <v>2</v>
      </c>
      <c r="AH89" s="14" t="n">
        <f aca="false">IF(AND(Z89&lt;&gt;"",AD89&lt;&gt;""),M89-K89,"")</f>
        <v>3</v>
      </c>
      <c r="AI89" s="14" t="n">
        <f aca="false">IF(Z89&lt;&gt;"",K89-B89,"")</f>
        <v>21</v>
      </c>
      <c r="AJ89" s="14" t="n">
        <f aca="false">IF(AND(N89="Completed",AD89&lt;&gt;""),M89-B89,"")</f>
        <v>24</v>
      </c>
      <c r="AK89" s="14" t="str">
        <f aca="false">IF(N89="Cancelled","Cancelled",IF(N89="Completed","Completed",IF(Y89=1,"Awaiting Installation",IF(ISNUMBER(J89),"In Transit","In Production"))))</f>
        <v>Completed</v>
      </c>
      <c r="AL89" s="18" t="n">
        <f aca="false">IF(AND(N89="Pending",OR(AND(Y89=0,I89&lt;AsOf),AND(Y89=1,L89&lt;AsOf))),1,0)</f>
        <v>0</v>
      </c>
      <c r="AM89" s="14" t="str">
        <f aca="false">IF(AL89=1,IF(Y89=0,AsOf-I89,AsOf-L89),"")</f>
        <v/>
      </c>
      <c r="AN89" s="14" t="str">
        <f aca="false">IF(AL89=1,IF(Y89=0,"Delivery","Installation"),"")</f>
        <v/>
      </c>
      <c r="AO89" s="14" t="n">
        <f aca="false">IF(AND(OR(fCat="All",F89=fCat),OR(fCust="All",D89=fCust),OR(fReg="All",E89=fReg)),1,0)</f>
        <v>1</v>
      </c>
      <c r="AP89" s="14" t="n">
        <f aca="false">IF(AND(AL89=1,AO89=1),AM89+ROW()/100000,0)</f>
        <v>0</v>
      </c>
    </row>
    <row r="90" customFormat="false" ht="15" hidden="false" customHeight="false" outlineLevel="0" collapsed="false">
      <c r="A90" s="14" t="s">
        <v>486</v>
      </c>
      <c r="B90" s="15" t="n">
        <v>46143</v>
      </c>
      <c r="C90" s="14" t="s">
        <v>361</v>
      </c>
      <c r="D90" s="14" t="s">
        <v>65</v>
      </c>
      <c r="E90" s="14" t="s">
        <v>91</v>
      </c>
      <c r="F90" s="14" t="s">
        <v>67</v>
      </c>
      <c r="G90" s="14" t="n">
        <v>2</v>
      </c>
      <c r="H90" s="16" t="n">
        <v>924000</v>
      </c>
      <c r="I90" s="15" t="n">
        <v>46161</v>
      </c>
      <c r="J90" s="15" t="n">
        <v>46155</v>
      </c>
      <c r="K90" s="15" t="n">
        <v>46157</v>
      </c>
      <c r="L90" s="15" t="n">
        <v>46166</v>
      </c>
      <c r="M90" s="15" t="n">
        <v>46161</v>
      </c>
      <c r="N90" s="14" t="s">
        <v>75</v>
      </c>
      <c r="O90" s="14"/>
      <c r="P90" s="14"/>
      <c r="Q90" s="14"/>
      <c r="R90" s="14" t="s">
        <v>226</v>
      </c>
      <c r="S90" s="14" t="s">
        <v>745</v>
      </c>
      <c r="T90" s="14" t="n">
        <v>1</v>
      </c>
      <c r="U90" s="14" t="n">
        <v>1</v>
      </c>
      <c r="V90" s="14" t="n">
        <v>1</v>
      </c>
      <c r="W90" s="17" t="n">
        <f aca="false">DATE(YEAR(B90),MONTH(B90),1)</f>
        <v>46143</v>
      </c>
      <c r="X90" s="14" t="n">
        <f aca="false">IF(AND(N90&lt;&gt;"Cancelled",I90&lt;=AsOf),1,0)</f>
        <v>1</v>
      </c>
      <c r="Y90" s="14" t="n">
        <f aca="false">IF(AND(N90&lt;&gt;"Cancelled",OR(ISNUMBER(K90),N90="Completed")),1,0)</f>
        <v>1</v>
      </c>
      <c r="Z90" s="14" t="n">
        <f aca="false">IF(AND(Y90=1,U90=1,ISNUMBER(K90)),K90-I90,"")</f>
        <v>-4</v>
      </c>
      <c r="AA90" s="14" t="str">
        <f aca="false">IF(Z90="","",IF(Z90&lt;0,"Early",IF(Z90=0,"On Time","Late")))</f>
        <v>Early</v>
      </c>
      <c r="AB90" s="14" t="n">
        <f aca="false">IF(AND(N90&lt;&gt;"Cancelled",L90&lt;=AsOf),1,0)</f>
        <v>1</v>
      </c>
      <c r="AC90" s="14" t="n">
        <f aca="false">IF(AND(N90&lt;&gt;"Cancelled",OR(ISNUMBER(M90),N90="Completed")),1,0)</f>
        <v>1</v>
      </c>
      <c r="AD90" s="14" t="n">
        <f aca="false">IF(AND(AC90=1,V90=1,ISNUMBER(M90)),M90-L90,"")</f>
        <v>-5</v>
      </c>
      <c r="AE90" s="14" t="str">
        <f aca="false">IF(AD90="","",IF(AD90&lt;0,"Early",IF(AD90=0,"On Time","Late")))</f>
        <v>Early</v>
      </c>
      <c r="AF90" s="14" t="n">
        <f aca="false">IF(AND(T90=1,ISNUMBER(J90),N90&lt;&gt;"Cancelled"),J90-B90,"")</f>
        <v>12</v>
      </c>
      <c r="AG90" s="14" t="n">
        <f aca="false">IF(AND(AF90&lt;&gt;"",Z90&lt;&gt;""),K90-J90,"")</f>
        <v>2</v>
      </c>
      <c r="AH90" s="14" t="n">
        <f aca="false">IF(AND(Z90&lt;&gt;"",AD90&lt;&gt;""),M90-K90,"")</f>
        <v>4</v>
      </c>
      <c r="AI90" s="14" t="n">
        <f aca="false">IF(Z90&lt;&gt;"",K90-B90,"")</f>
        <v>14</v>
      </c>
      <c r="AJ90" s="14" t="n">
        <f aca="false">IF(AND(N90="Completed",AD90&lt;&gt;""),M90-B90,"")</f>
        <v>18</v>
      </c>
      <c r="AK90" s="14" t="str">
        <f aca="false">IF(N90="Cancelled","Cancelled",IF(N90="Completed","Completed",IF(Y90=1,"Awaiting Installation",IF(ISNUMBER(J90),"In Transit","In Production"))))</f>
        <v>Completed</v>
      </c>
      <c r="AL90" s="18" t="n">
        <f aca="false">IF(AND(N90="Pending",OR(AND(Y90=0,I90&lt;AsOf),AND(Y90=1,L90&lt;AsOf))),1,0)</f>
        <v>0</v>
      </c>
      <c r="AM90" s="14" t="str">
        <f aca="false">IF(AL90=1,IF(Y90=0,AsOf-I90,AsOf-L90),"")</f>
        <v/>
      </c>
      <c r="AN90" s="14" t="str">
        <f aca="false">IF(AL90=1,IF(Y90=0,"Delivery","Installation"),"")</f>
        <v/>
      </c>
      <c r="AO90" s="14" t="n">
        <f aca="false">IF(AND(OR(fCat="All",F90=fCat),OR(fCust="All",D90=fCust),OR(fReg="All",E90=fReg)),1,0)</f>
        <v>1</v>
      </c>
      <c r="AP90" s="14" t="n">
        <f aca="false">IF(AND(AL90=1,AO90=1),AM90+ROW()/100000,0)</f>
        <v>0</v>
      </c>
    </row>
    <row r="91" customFormat="false" ht="15" hidden="false" customHeight="false" outlineLevel="0" collapsed="false">
      <c r="A91" s="14" t="s">
        <v>490</v>
      </c>
      <c r="B91" s="15" t="n">
        <v>46145</v>
      </c>
      <c r="C91" s="14" t="s">
        <v>491</v>
      </c>
      <c r="D91" s="14" t="s">
        <v>90</v>
      </c>
      <c r="E91" s="14" t="s">
        <v>91</v>
      </c>
      <c r="F91" s="14" t="s">
        <v>67</v>
      </c>
      <c r="G91" s="14" t="n">
        <v>1</v>
      </c>
      <c r="H91" s="16" t="n">
        <v>661000</v>
      </c>
      <c r="I91" s="15" t="n">
        <v>46163</v>
      </c>
      <c r="J91" s="15" t="n">
        <v>46173</v>
      </c>
      <c r="K91" s="15" t="n">
        <v>46175</v>
      </c>
      <c r="L91" s="15" t="n">
        <v>46168</v>
      </c>
      <c r="M91" s="15" t="n">
        <v>46178</v>
      </c>
      <c r="N91" s="14" t="s">
        <v>75</v>
      </c>
      <c r="O91" s="14" t="s">
        <v>84</v>
      </c>
      <c r="P91" s="14" t="s">
        <v>85</v>
      </c>
      <c r="Q91" s="14"/>
      <c r="R91" s="14" t="s">
        <v>98</v>
      </c>
      <c r="S91" s="14" t="s">
        <v>745</v>
      </c>
      <c r="T91" s="14" t="n">
        <v>1</v>
      </c>
      <c r="U91" s="14" t="n">
        <v>1</v>
      </c>
      <c r="V91" s="14" t="n">
        <v>1</v>
      </c>
      <c r="W91" s="17" t="n">
        <f aca="false">DATE(YEAR(B91),MONTH(B91),1)</f>
        <v>46143</v>
      </c>
      <c r="X91" s="14" t="n">
        <f aca="false">IF(AND(N91&lt;&gt;"Cancelled",I91&lt;=AsOf),1,0)</f>
        <v>1</v>
      </c>
      <c r="Y91" s="14" t="n">
        <f aca="false">IF(AND(N91&lt;&gt;"Cancelled",OR(ISNUMBER(K91),N91="Completed")),1,0)</f>
        <v>1</v>
      </c>
      <c r="Z91" s="14" t="n">
        <f aca="false">IF(AND(Y91=1,U91=1,ISNUMBER(K91)),K91-I91,"")</f>
        <v>12</v>
      </c>
      <c r="AA91" s="14" t="str">
        <f aca="false">IF(Z91="","",IF(Z91&lt;0,"Early",IF(Z91=0,"On Time","Late")))</f>
        <v>Late</v>
      </c>
      <c r="AB91" s="14" t="n">
        <f aca="false">IF(AND(N91&lt;&gt;"Cancelled",L91&lt;=AsOf),1,0)</f>
        <v>1</v>
      </c>
      <c r="AC91" s="14" t="n">
        <f aca="false">IF(AND(N91&lt;&gt;"Cancelled",OR(ISNUMBER(M91),N91="Completed")),1,0)</f>
        <v>1</v>
      </c>
      <c r="AD91" s="14" t="n">
        <f aca="false">IF(AND(AC91=1,V91=1,ISNUMBER(M91)),M91-L91,"")</f>
        <v>10</v>
      </c>
      <c r="AE91" s="14" t="str">
        <f aca="false">IF(AD91="","",IF(AD91&lt;0,"Early",IF(AD91=0,"On Time","Late")))</f>
        <v>Late</v>
      </c>
      <c r="AF91" s="14" t="n">
        <f aca="false">IF(AND(T91=1,ISNUMBER(J91),N91&lt;&gt;"Cancelled"),J91-B91,"")</f>
        <v>28</v>
      </c>
      <c r="AG91" s="14" t="n">
        <f aca="false">IF(AND(AF91&lt;&gt;"",Z91&lt;&gt;""),K91-J91,"")</f>
        <v>2</v>
      </c>
      <c r="AH91" s="14" t="n">
        <f aca="false">IF(AND(Z91&lt;&gt;"",AD91&lt;&gt;""),M91-K91,"")</f>
        <v>3</v>
      </c>
      <c r="AI91" s="14" t="n">
        <f aca="false">IF(Z91&lt;&gt;"",K91-B91,"")</f>
        <v>30</v>
      </c>
      <c r="AJ91" s="14" t="n">
        <f aca="false">IF(AND(N91="Completed",AD91&lt;&gt;""),M91-B91,"")</f>
        <v>33</v>
      </c>
      <c r="AK91" s="14" t="str">
        <f aca="false">IF(N91="Cancelled","Cancelled",IF(N91="Completed","Completed",IF(Y91=1,"Awaiting Installation",IF(ISNUMBER(J91),"In Transit","In Production"))))</f>
        <v>Completed</v>
      </c>
      <c r="AL91" s="18" t="n">
        <f aca="false">IF(AND(N91="Pending",OR(AND(Y91=0,I91&lt;AsOf),AND(Y91=1,L91&lt;AsOf))),1,0)</f>
        <v>0</v>
      </c>
      <c r="AM91" s="14" t="str">
        <f aca="false">IF(AL91=1,IF(Y91=0,AsOf-I91,AsOf-L91),"")</f>
        <v/>
      </c>
      <c r="AN91" s="14" t="str">
        <f aca="false">IF(AL91=1,IF(Y91=0,"Delivery","Installation"),"")</f>
        <v/>
      </c>
      <c r="AO91" s="14" t="n">
        <f aca="false">IF(AND(OR(fCat="All",F91=fCat),OR(fCust="All",D91=fCust),OR(fReg="All",E91=fReg)),1,0)</f>
        <v>1</v>
      </c>
      <c r="AP91" s="14" t="n">
        <f aca="false">IF(AND(AL91=1,AO91=1),AM91+ROW()/100000,0)</f>
        <v>0</v>
      </c>
    </row>
    <row r="92" customFormat="false" ht="15" hidden="false" customHeight="false" outlineLevel="0" collapsed="false">
      <c r="A92" s="14" t="s">
        <v>497</v>
      </c>
      <c r="B92" s="15" t="n">
        <v>46145</v>
      </c>
      <c r="C92" s="14" t="s">
        <v>498</v>
      </c>
      <c r="D92" s="14" t="s">
        <v>90</v>
      </c>
      <c r="E92" s="14" t="s">
        <v>66</v>
      </c>
      <c r="F92" s="14" t="s">
        <v>67</v>
      </c>
      <c r="G92" s="14" t="n">
        <v>1</v>
      </c>
      <c r="H92" s="16" t="n">
        <v>1161000</v>
      </c>
      <c r="I92" s="15" t="n">
        <v>46167</v>
      </c>
      <c r="J92" s="15" t="n">
        <v>46154</v>
      </c>
      <c r="K92" s="15" t="n">
        <v>46163</v>
      </c>
      <c r="L92" s="15" t="n">
        <v>46172</v>
      </c>
      <c r="M92" s="15" t="n">
        <v>46174</v>
      </c>
      <c r="N92" s="14" t="s">
        <v>75</v>
      </c>
      <c r="O92" s="14"/>
      <c r="P92" s="14"/>
      <c r="Q92" s="14"/>
      <c r="R92" s="14" t="s">
        <v>86</v>
      </c>
      <c r="S92" s="14" t="s">
        <v>745</v>
      </c>
      <c r="T92" s="14" t="n">
        <v>1</v>
      </c>
      <c r="U92" s="14" t="n">
        <v>1</v>
      </c>
      <c r="V92" s="14" t="n">
        <v>1</v>
      </c>
      <c r="W92" s="17" t="n">
        <f aca="false">DATE(YEAR(B92),MONTH(B92),1)</f>
        <v>46143</v>
      </c>
      <c r="X92" s="14" t="n">
        <f aca="false">IF(AND(N92&lt;&gt;"Cancelled",I92&lt;=AsOf),1,0)</f>
        <v>1</v>
      </c>
      <c r="Y92" s="14" t="n">
        <f aca="false">IF(AND(N92&lt;&gt;"Cancelled",OR(ISNUMBER(K92),N92="Completed")),1,0)</f>
        <v>1</v>
      </c>
      <c r="Z92" s="14" t="n">
        <f aca="false">IF(AND(Y92=1,U92=1,ISNUMBER(K92)),K92-I92,"")</f>
        <v>-4</v>
      </c>
      <c r="AA92" s="14" t="str">
        <f aca="false">IF(Z92="","",IF(Z92&lt;0,"Early",IF(Z92=0,"On Time","Late")))</f>
        <v>Early</v>
      </c>
      <c r="AB92" s="14" t="n">
        <f aca="false">IF(AND(N92&lt;&gt;"Cancelled",L92&lt;=AsOf),1,0)</f>
        <v>1</v>
      </c>
      <c r="AC92" s="14" t="n">
        <f aca="false">IF(AND(N92&lt;&gt;"Cancelled",OR(ISNUMBER(M92),N92="Completed")),1,0)</f>
        <v>1</v>
      </c>
      <c r="AD92" s="14" t="n">
        <f aca="false">IF(AND(AC92=1,V92=1,ISNUMBER(M92)),M92-L92,"")</f>
        <v>2</v>
      </c>
      <c r="AE92" s="14" t="str">
        <f aca="false">IF(AD92="","",IF(AD92&lt;0,"Early",IF(AD92=0,"On Time","Late")))</f>
        <v>Late</v>
      </c>
      <c r="AF92" s="14" t="n">
        <f aca="false">IF(AND(T92=1,ISNUMBER(J92),N92&lt;&gt;"Cancelled"),J92-B92,"")</f>
        <v>9</v>
      </c>
      <c r="AG92" s="14" t="n">
        <f aca="false">IF(AND(AF92&lt;&gt;"",Z92&lt;&gt;""),K92-J92,"")</f>
        <v>9</v>
      </c>
      <c r="AH92" s="14" t="n">
        <f aca="false">IF(AND(Z92&lt;&gt;"",AD92&lt;&gt;""),M92-K92,"")</f>
        <v>11</v>
      </c>
      <c r="AI92" s="14" t="n">
        <f aca="false">IF(Z92&lt;&gt;"",K92-B92,"")</f>
        <v>18</v>
      </c>
      <c r="AJ92" s="14" t="n">
        <f aca="false">IF(AND(N92="Completed",AD92&lt;&gt;""),M92-B92,"")</f>
        <v>29</v>
      </c>
      <c r="AK92" s="14" t="str">
        <f aca="false">IF(N92="Cancelled","Cancelled",IF(N92="Completed","Completed",IF(Y92=1,"Awaiting Installation",IF(ISNUMBER(J92),"In Transit","In Production"))))</f>
        <v>Completed</v>
      </c>
      <c r="AL92" s="18" t="n">
        <f aca="false">IF(AND(N92="Pending",OR(AND(Y92=0,I92&lt;AsOf),AND(Y92=1,L92&lt;AsOf))),1,0)</f>
        <v>0</v>
      </c>
      <c r="AM92" s="14" t="str">
        <f aca="false">IF(AL92=1,IF(Y92=0,AsOf-I92,AsOf-L92),"")</f>
        <v/>
      </c>
      <c r="AN92" s="14" t="str">
        <f aca="false">IF(AL92=1,IF(Y92=0,"Delivery","Installation"),"")</f>
        <v/>
      </c>
      <c r="AO92" s="14" t="n">
        <f aca="false">IF(AND(OR(fCat="All",F92=fCat),OR(fCust="All",D92=fCust),OR(fReg="All",E92=fReg)),1,0)</f>
        <v>1</v>
      </c>
      <c r="AP92" s="14" t="n">
        <f aca="false">IF(AND(AL92=1,AO92=1),AM92+ROW()/100000,0)</f>
        <v>0</v>
      </c>
    </row>
    <row r="93" customFormat="false" ht="15" hidden="false" customHeight="false" outlineLevel="0" collapsed="false">
      <c r="A93" s="14" t="s">
        <v>502</v>
      </c>
      <c r="B93" s="15" t="n">
        <v>46145</v>
      </c>
      <c r="C93" s="14" t="s">
        <v>359</v>
      </c>
      <c r="D93" s="14" t="s">
        <v>90</v>
      </c>
      <c r="E93" s="14" t="s">
        <v>102</v>
      </c>
      <c r="F93" s="14" t="s">
        <v>67</v>
      </c>
      <c r="G93" s="14" t="n">
        <v>1</v>
      </c>
      <c r="H93" s="16" t="n">
        <v>306000</v>
      </c>
      <c r="I93" s="15" t="n">
        <v>46165</v>
      </c>
      <c r="J93" s="15"/>
      <c r="K93" s="15"/>
      <c r="L93" s="15" t="n">
        <v>46170</v>
      </c>
      <c r="M93" s="15"/>
      <c r="N93" s="14" t="s">
        <v>188</v>
      </c>
      <c r="O93" s="14"/>
      <c r="P93" s="14"/>
      <c r="Q93" s="14" t="s">
        <v>210</v>
      </c>
      <c r="R93" s="14" t="s">
        <v>98</v>
      </c>
      <c r="S93" s="14" t="s">
        <v>745</v>
      </c>
      <c r="T93" s="14" t="n">
        <v>1</v>
      </c>
      <c r="U93" s="14" t="n">
        <v>1</v>
      </c>
      <c r="V93" s="14" t="n">
        <v>1</v>
      </c>
      <c r="W93" s="17" t="n">
        <f aca="false">DATE(YEAR(B93),MONTH(B93),1)</f>
        <v>46143</v>
      </c>
      <c r="X93" s="14" t="n">
        <f aca="false">IF(AND(N93&lt;&gt;"Cancelled",I93&lt;=AsOf),1,0)</f>
        <v>0</v>
      </c>
      <c r="Y93" s="14" t="n">
        <f aca="false">IF(AND(N93&lt;&gt;"Cancelled",OR(ISNUMBER(K93),N93="Completed")),1,0)</f>
        <v>0</v>
      </c>
      <c r="Z93" s="14" t="str">
        <f aca="false">IF(AND(Y93=1,U93=1,ISNUMBER(K93)),K93-I93,"")</f>
        <v/>
      </c>
      <c r="AA93" s="14" t="str">
        <f aca="false">IF(Z93="","",IF(Z93&lt;0,"Early",IF(Z93=0,"On Time","Late")))</f>
        <v/>
      </c>
      <c r="AB93" s="14" t="n">
        <f aca="false">IF(AND(N93&lt;&gt;"Cancelled",L93&lt;=AsOf),1,0)</f>
        <v>0</v>
      </c>
      <c r="AC93" s="14" t="n">
        <f aca="false">IF(AND(N93&lt;&gt;"Cancelled",OR(ISNUMBER(M93),N93="Completed")),1,0)</f>
        <v>0</v>
      </c>
      <c r="AD93" s="14" t="str">
        <f aca="false">IF(AND(AC93=1,V93=1,ISNUMBER(M93)),M93-L93,"")</f>
        <v/>
      </c>
      <c r="AE93" s="14" t="str">
        <f aca="false">IF(AD93="","",IF(AD93&lt;0,"Early",IF(AD93=0,"On Time","Late")))</f>
        <v/>
      </c>
      <c r="AF93" s="14" t="str">
        <f aca="false">IF(AND(T93=1,ISNUMBER(J93),N93&lt;&gt;"Cancelled"),J93-B93,"")</f>
        <v/>
      </c>
      <c r="AG93" s="14" t="str">
        <f aca="false">IF(AND(AF93&lt;&gt;"",Z93&lt;&gt;""),K93-J93,"")</f>
        <v/>
      </c>
      <c r="AH93" s="14" t="str">
        <f aca="false">IF(AND(Z93&lt;&gt;"",AD93&lt;&gt;""),M93-K93,"")</f>
        <v/>
      </c>
      <c r="AI93" s="14" t="str">
        <f aca="false">IF(Z93&lt;&gt;"",K93-B93,"")</f>
        <v/>
      </c>
      <c r="AJ93" s="14" t="str">
        <f aca="false">IF(AND(N93="Completed",AD93&lt;&gt;""),M93-B93,"")</f>
        <v/>
      </c>
      <c r="AK93" s="14" t="str">
        <f aca="false">IF(N93="Cancelled","Cancelled",IF(N93="Completed","Completed",IF(Y93=1,"Awaiting Installation",IF(ISNUMBER(J93),"In Transit","In Production"))))</f>
        <v>Cancelled</v>
      </c>
      <c r="AL93" s="18" t="n">
        <f aca="false">IF(AND(N93="Pending",OR(AND(Y93=0,I93&lt;AsOf),AND(Y93=1,L93&lt;AsOf))),1,0)</f>
        <v>0</v>
      </c>
      <c r="AM93" s="14" t="str">
        <f aca="false">IF(AL93=1,IF(Y93=0,AsOf-I93,AsOf-L93),"")</f>
        <v/>
      </c>
      <c r="AN93" s="14" t="str">
        <f aca="false">IF(AL93=1,IF(Y93=0,"Delivery","Installation"),"")</f>
        <v/>
      </c>
      <c r="AO93" s="14" t="n">
        <f aca="false">IF(AND(OR(fCat="All",F93=fCat),OR(fCust="All",D93=fCust),OR(fReg="All",E93=fReg)),1,0)</f>
        <v>1</v>
      </c>
      <c r="AP93" s="14" t="n">
        <f aca="false">IF(AND(AL93=1,AO93=1),AM93+ROW()/100000,0)</f>
        <v>0</v>
      </c>
    </row>
    <row r="94" customFormat="false" ht="15" hidden="false" customHeight="false" outlineLevel="0" collapsed="false">
      <c r="A94" s="14" t="s">
        <v>504</v>
      </c>
      <c r="B94" s="15" t="n">
        <v>46148</v>
      </c>
      <c r="C94" s="14" t="s">
        <v>385</v>
      </c>
      <c r="D94" s="14" t="s">
        <v>149</v>
      </c>
      <c r="E94" s="14" t="s">
        <v>102</v>
      </c>
      <c r="F94" s="14" t="s">
        <v>150</v>
      </c>
      <c r="G94" s="14" t="n">
        <v>1</v>
      </c>
      <c r="H94" s="16" t="n">
        <v>584000</v>
      </c>
      <c r="I94" s="15" t="n">
        <v>46164</v>
      </c>
      <c r="J94" s="15" t="n">
        <v>46153</v>
      </c>
      <c r="K94" s="15" t="n">
        <v>46157</v>
      </c>
      <c r="L94" s="15" t="n">
        <v>46167</v>
      </c>
      <c r="M94" s="15" t="n">
        <v>46160</v>
      </c>
      <c r="N94" s="14" t="s">
        <v>75</v>
      </c>
      <c r="O94" s="14"/>
      <c r="P94" s="14"/>
      <c r="Q94" s="14"/>
      <c r="R94" s="14" t="s">
        <v>134</v>
      </c>
      <c r="S94" s="14" t="s">
        <v>745</v>
      </c>
      <c r="T94" s="14" t="n">
        <v>1</v>
      </c>
      <c r="U94" s="14" t="n">
        <v>1</v>
      </c>
      <c r="V94" s="14" t="n">
        <v>1</v>
      </c>
      <c r="W94" s="17" t="n">
        <f aca="false">DATE(YEAR(B94),MONTH(B94),1)</f>
        <v>46143</v>
      </c>
      <c r="X94" s="14" t="n">
        <f aca="false">IF(AND(N94&lt;&gt;"Cancelled",I94&lt;=AsOf),1,0)</f>
        <v>1</v>
      </c>
      <c r="Y94" s="14" t="n">
        <f aca="false">IF(AND(N94&lt;&gt;"Cancelled",OR(ISNUMBER(K94),N94="Completed")),1,0)</f>
        <v>1</v>
      </c>
      <c r="Z94" s="14" t="n">
        <f aca="false">IF(AND(Y94=1,U94=1,ISNUMBER(K94)),K94-I94,"")</f>
        <v>-7</v>
      </c>
      <c r="AA94" s="14" t="str">
        <f aca="false">IF(Z94="","",IF(Z94&lt;0,"Early",IF(Z94=0,"On Time","Late")))</f>
        <v>Early</v>
      </c>
      <c r="AB94" s="14" t="n">
        <f aca="false">IF(AND(N94&lt;&gt;"Cancelled",L94&lt;=AsOf),1,0)</f>
        <v>1</v>
      </c>
      <c r="AC94" s="14" t="n">
        <f aca="false">IF(AND(N94&lt;&gt;"Cancelled",OR(ISNUMBER(M94),N94="Completed")),1,0)</f>
        <v>1</v>
      </c>
      <c r="AD94" s="14" t="n">
        <f aca="false">IF(AND(AC94=1,V94=1,ISNUMBER(M94)),M94-L94,"")</f>
        <v>-7</v>
      </c>
      <c r="AE94" s="14" t="str">
        <f aca="false">IF(AD94="","",IF(AD94&lt;0,"Early",IF(AD94=0,"On Time","Late")))</f>
        <v>Early</v>
      </c>
      <c r="AF94" s="14" t="n">
        <f aca="false">IF(AND(T94=1,ISNUMBER(J94),N94&lt;&gt;"Cancelled"),J94-B94,"")</f>
        <v>5</v>
      </c>
      <c r="AG94" s="14" t="n">
        <f aca="false">IF(AND(AF94&lt;&gt;"",Z94&lt;&gt;""),K94-J94,"")</f>
        <v>4</v>
      </c>
      <c r="AH94" s="14" t="n">
        <f aca="false">IF(AND(Z94&lt;&gt;"",AD94&lt;&gt;""),M94-K94,"")</f>
        <v>3</v>
      </c>
      <c r="AI94" s="14" t="n">
        <f aca="false">IF(Z94&lt;&gt;"",K94-B94,"")</f>
        <v>9</v>
      </c>
      <c r="AJ94" s="14" t="n">
        <f aca="false">IF(AND(N94="Completed",AD94&lt;&gt;""),M94-B94,"")</f>
        <v>12</v>
      </c>
      <c r="AK94" s="14" t="str">
        <f aca="false">IF(N94="Cancelled","Cancelled",IF(N94="Completed","Completed",IF(Y94=1,"Awaiting Installation",IF(ISNUMBER(J94),"In Transit","In Production"))))</f>
        <v>Completed</v>
      </c>
      <c r="AL94" s="18" t="n">
        <f aca="false">IF(AND(N94="Pending",OR(AND(Y94=0,I94&lt;AsOf),AND(Y94=1,L94&lt;AsOf))),1,0)</f>
        <v>0</v>
      </c>
      <c r="AM94" s="14" t="str">
        <f aca="false">IF(AL94=1,IF(Y94=0,AsOf-I94,AsOf-L94),"")</f>
        <v/>
      </c>
      <c r="AN94" s="14" t="str">
        <f aca="false">IF(AL94=1,IF(Y94=0,"Delivery","Installation"),"")</f>
        <v/>
      </c>
      <c r="AO94" s="14" t="n">
        <f aca="false">IF(AND(OR(fCat="All",F94=fCat),OR(fCust="All",D94=fCust),OR(fReg="All",E94=fReg)),1,0)</f>
        <v>1</v>
      </c>
      <c r="AP94" s="14" t="n">
        <f aca="false">IF(AND(AL94=1,AO94=1),AM94+ROW()/100000,0)</f>
        <v>0</v>
      </c>
    </row>
    <row r="95" customFormat="false" ht="15" hidden="false" customHeight="false" outlineLevel="0" collapsed="false">
      <c r="A95" s="14" t="s">
        <v>507</v>
      </c>
      <c r="B95" s="15" t="n">
        <v>46148</v>
      </c>
      <c r="C95" s="14" t="s">
        <v>346</v>
      </c>
      <c r="D95" s="14" t="s">
        <v>65</v>
      </c>
      <c r="E95" s="14" t="s">
        <v>102</v>
      </c>
      <c r="F95" s="14" t="s">
        <v>121</v>
      </c>
      <c r="G95" s="14" t="n">
        <v>1</v>
      </c>
      <c r="H95" s="16" t="n">
        <v>1017000</v>
      </c>
      <c r="I95" s="15" t="n">
        <v>46180</v>
      </c>
      <c r="J95" s="15" t="n">
        <v>46179</v>
      </c>
      <c r="K95" s="15" t="n">
        <v>46182</v>
      </c>
      <c r="L95" s="15" t="n">
        <v>46185</v>
      </c>
      <c r="M95" s="15" t="n">
        <v>46185</v>
      </c>
      <c r="N95" s="14" t="s">
        <v>75</v>
      </c>
      <c r="O95" s="14" t="s">
        <v>110</v>
      </c>
      <c r="P95" s="14"/>
      <c r="Q95" s="14"/>
      <c r="R95" s="14" t="s">
        <v>226</v>
      </c>
      <c r="S95" s="14" t="s">
        <v>745</v>
      </c>
      <c r="T95" s="14" t="n">
        <v>1</v>
      </c>
      <c r="U95" s="14" t="n">
        <v>1</v>
      </c>
      <c r="V95" s="14" t="n">
        <v>1</v>
      </c>
      <c r="W95" s="17" t="n">
        <f aca="false">DATE(YEAR(B95),MONTH(B95),1)</f>
        <v>46143</v>
      </c>
      <c r="X95" s="14" t="n">
        <f aca="false">IF(AND(N95&lt;&gt;"Cancelled",I95&lt;=AsOf),1,0)</f>
        <v>1</v>
      </c>
      <c r="Y95" s="14" t="n">
        <f aca="false">IF(AND(N95&lt;&gt;"Cancelled",OR(ISNUMBER(K95),N95="Completed")),1,0)</f>
        <v>1</v>
      </c>
      <c r="Z95" s="14" t="n">
        <f aca="false">IF(AND(Y95=1,U95=1,ISNUMBER(K95)),K95-I95,"")</f>
        <v>2</v>
      </c>
      <c r="AA95" s="14" t="str">
        <f aca="false">IF(Z95="","",IF(Z95&lt;0,"Early",IF(Z95=0,"On Time","Late")))</f>
        <v>Late</v>
      </c>
      <c r="AB95" s="14" t="n">
        <f aca="false">IF(AND(N95&lt;&gt;"Cancelled",L95&lt;=AsOf),1,0)</f>
        <v>1</v>
      </c>
      <c r="AC95" s="14" t="n">
        <f aca="false">IF(AND(N95&lt;&gt;"Cancelled",OR(ISNUMBER(M95),N95="Completed")),1,0)</f>
        <v>1</v>
      </c>
      <c r="AD95" s="14" t="n">
        <f aca="false">IF(AND(AC95=1,V95=1,ISNUMBER(M95)),M95-L95,"")</f>
        <v>0</v>
      </c>
      <c r="AE95" s="14" t="str">
        <f aca="false">IF(AD95="","",IF(AD95&lt;0,"Early",IF(AD95=0,"On Time","Late")))</f>
        <v>On Time</v>
      </c>
      <c r="AF95" s="14" t="n">
        <f aca="false">IF(AND(T95=1,ISNUMBER(J95),N95&lt;&gt;"Cancelled"),J95-B95,"")</f>
        <v>31</v>
      </c>
      <c r="AG95" s="14" t="n">
        <f aca="false">IF(AND(AF95&lt;&gt;"",Z95&lt;&gt;""),K95-J95,"")</f>
        <v>3</v>
      </c>
      <c r="AH95" s="14" t="n">
        <f aca="false">IF(AND(Z95&lt;&gt;"",AD95&lt;&gt;""),M95-K95,"")</f>
        <v>3</v>
      </c>
      <c r="AI95" s="14" t="n">
        <f aca="false">IF(Z95&lt;&gt;"",K95-B95,"")</f>
        <v>34</v>
      </c>
      <c r="AJ95" s="14" t="n">
        <f aca="false">IF(AND(N95="Completed",AD95&lt;&gt;""),M95-B95,"")</f>
        <v>37</v>
      </c>
      <c r="AK95" s="14" t="str">
        <f aca="false">IF(N95="Cancelled","Cancelled",IF(N95="Completed","Completed",IF(Y95=1,"Awaiting Installation",IF(ISNUMBER(J95),"In Transit","In Production"))))</f>
        <v>Completed</v>
      </c>
      <c r="AL95" s="18" t="n">
        <f aca="false">IF(AND(N95="Pending",OR(AND(Y95=0,I95&lt;AsOf),AND(Y95=1,L95&lt;AsOf))),1,0)</f>
        <v>0</v>
      </c>
      <c r="AM95" s="14" t="str">
        <f aca="false">IF(AL95=1,IF(Y95=0,AsOf-I95,AsOf-L95),"")</f>
        <v/>
      </c>
      <c r="AN95" s="14" t="str">
        <f aca="false">IF(AL95=1,IF(Y95=0,"Delivery","Installation"),"")</f>
        <v/>
      </c>
      <c r="AO95" s="14" t="n">
        <f aca="false">IF(AND(OR(fCat="All",F95=fCat),OR(fCust="All",D95=fCust),OR(fReg="All",E95=fReg)),1,0)</f>
        <v>1</v>
      </c>
      <c r="AP95" s="14" t="n">
        <f aca="false">IF(AND(AL95=1,AO95=1),AM95+ROW()/100000,0)</f>
        <v>0</v>
      </c>
    </row>
    <row r="96" customFormat="false" ht="15" hidden="false" customHeight="false" outlineLevel="0" collapsed="false">
      <c r="A96" s="14" t="s">
        <v>513</v>
      </c>
      <c r="B96" s="15" t="n">
        <v>46152</v>
      </c>
      <c r="C96" s="14" t="s">
        <v>514</v>
      </c>
      <c r="D96" s="14" t="s">
        <v>65</v>
      </c>
      <c r="E96" s="14" t="s">
        <v>102</v>
      </c>
      <c r="F96" s="14" t="s">
        <v>121</v>
      </c>
      <c r="G96" s="14" t="n">
        <v>2</v>
      </c>
      <c r="H96" s="16" t="n">
        <v>2722000</v>
      </c>
      <c r="I96" s="15" t="n">
        <v>46184</v>
      </c>
      <c r="J96" s="15" t="n">
        <v>46191</v>
      </c>
      <c r="K96" s="15" t="n">
        <v>46194</v>
      </c>
      <c r="L96" s="15" t="n">
        <v>46189</v>
      </c>
      <c r="M96" s="15"/>
      <c r="N96" s="14" t="s">
        <v>328</v>
      </c>
      <c r="O96" s="14" t="s">
        <v>84</v>
      </c>
      <c r="P96" s="14" t="s">
        <v>183</v>
      </c>
      <c r="Q96" s="14"/>
      <c r="R96" s="14" t="s">
        <v>366</v>
      </c>
      <c r="S96" s="14" t="s">
        <v>745</v>
      </c>
      <c r="T96" s="14" t="n">
        <v>1</v>
      </c>
      <c r="U96" s="14" t="n">
        <v>1</v>
      </c>
      <c r="V96" s="14" t="n">
        <v>1</v>
      </c>
      <c r="W96" s="17" t="n">
        <f aca="false">DATE(YEAR(B96),MONTH(B96),1)</f>
        <v>46143</v>
      </c>
      <c r="X96" s="14" t="n">
        <f aca="false">IF(AND(N96&lt;&gt;"Cancelled",I96&lt;=AsOf),1,0)</f>
        <v>1</v>
      </c>
      <c r="Y96" s="14" t="n">
        <f aca="false">IF(AND(N96&lt;&gt;"Cancelled",OR(ISNUMBER(K96),N96="Completed")),1,0)</f>
        <v>1</v>
      </c>
      <c r="Z96" s="14" t="n">
        <f aca="false">IF(AND(Y96=1,U96=1,ISNUMBER(K96)),K96-I96,"")</f>
        <v>10</v>
      </c>
      <c r="AA96" s="14" t="str">
        <f aca="false">IF(Z96="","",IF(Z96&lt;0,"Early",IF(Z96=0,"On Time","Late")))</f>
        <v>Late</v>
      </c>
      <c r="AB96" s="14" t="n">
        <f aca="false">IF(AND(N96&lt;&gt;"Cancelled",L96&lt;=AsOf),1,0)</f>
        <v>1</v>
      </c>
      <c r="AC96" s="14" t="n">
        <f aca="false">IF(AND(N96&lt;&gt;"Cancelled",OR(ISNUMBER(M96),N96="Completed")),1,0)</f>
        <v>0</v>
      </c>
      <c r="AD96" s="14" t="str">
        <f aca="false">IF(AND(AC96=1,V96=1,ISNUMBER(M96)),M96-L96,"")</f>
        <v/>
      </c>
      <c r="AE96" s="14" t="str">
        <f aca="false">IF(AD96="","",IF(AD96&lt;0,"Early",IF(AD96=0,"On Time","Late")))</f>
        <v/>
      </c>
      <c r="AF96" s="14" t="n">
        <f aca="false">IF(AND(T96=1,ISNUMBER(J96),N96&lt;&gt;"Cancelled"),J96-B96,"")</f>
        <v>39</v>
      </c>
      <c r="AG96" s="14" t="n">
        <f aca="false">IF(AND(AF96&lt;&gt;"",Z96&lt;&gt;""),K96-J96,"")</f>
        <v>3</v>
      </c>
      <c r="AH96" s="14" t="str">
        <f aca="false">IF(AND(Z96&lt;&gt;"",AD96&lt;&gt;""),M96-K96,"")</f>
        <v/>
      </c>
      <c r="AI96" s="14" t="n">
        <f aca="false">IF(Z96&lt;&gt;"",K96-B96,"")</f>
        <v>42</v>
      </c>
      <c r="AJ96" s="14" t="str">
        <f aca="false">IF(AND(N96="Completed",AD96&lt;&gt;""),M96-B96,"")</f>
        <v/>
      </c>
      <c r="AK96" s="14" t="str">
        <f aca="false">IF(N96="Cancelled","Cancelled",IF(N96="Completed","Completed",IF(Y96=1,"Awaiting Installation",IF(ISNUMBER(J96),"In Transit","In Production"))))</f>
        <v>Awaiting Installation</v>
      </c>
      <c r="AL96" s="18" t="n">
        <f aca="false">IF(AND(N96="Pending",OR(AND(Y96=0,I96&lt;AsOf),AND(Y96=1,L96&lt;AsOf))),1,0)</f>
        <v>1</v>
      </c>
      <c r="AM96" s="14" t="n">
        <f aca="false">IF(AL96=1,IF(Y96=0,AsOf-I96,AsOf-L96),"")</f>
        <v>14</v>
      </c>
      <c r="AN96" s="14" t="str">
        <f aca="false">IF(AL96=1,IF(Y96=0,"Delivery","Installation"),"")</f>
        <v>Installation</v>
      </c>
      <c r="AO96" s="14" t="n">
        <f aca="false">IF(AND(OR(fCat="All",F96=fCat),OR(fCust="All",D96=fCust),OR(fReg="All",E96=fReg)),1,0)</f>
        <v>1</v>
      </c>
      <c r="AP96" s="14" t="n">
        <f aca="false">IF(AND(AL96=1,AO96=1),AM96+ROW()/100000,0)</f>
        <v>14.00096</v>
      </c>
    </row>
    <row r="97" customFormat="false" ht="15" hidden="false" customHeight="false" outlineLevel="0" collapsed="false">
      <c r="A97" s="14" t="s">
        <v>520</v>
      </c>
      <c r="B97" s="15" t="n">
        <v>46153</v>
      </c>
      <c r="C97" s="14" t="s">
        <v>498</v>
      </c>
      <c r="D97" s="14" t="s">
        <v>65</v>
      </c>
      <c r="E97" s="14" t="s">
        <v>91</v>
      </c>
      <c r="F97" s="14" t="s">
        <v>121</v>
      </c>
      <c r="G97" s="14" t="n">
        <v>1</v>
      </c>
      <c r="H97" s="16" t="n">
        <v>669000</v>
      </c>
      <c r="I97" s="15" t="n">
        <v>46183</v>
      </c>
      <c r="J97" s="15" t="n">
        <v>46172</v>
      </c>
      <c r="K97" s="15" t="n">
        <v>46173</v>
      </c>
      <c r="L97" s="15" t="n">
        <v>46188</v>
      </c>
      <c r="M97" s="15" t="n">
        <v>46178</v>
      </c>
      <c r="N97" s="14" t="s">
        <v>75</v>
      </c>
      <c r="O97" s="14"/>
      <c r="P97" s="14"/>
      <c r="Q97" s="14"/>
      <c r="R97" s="14" t="s">
        <v>226</v>
      </c>
      <c r="S97" s="14" t="s">
        <v>745</v>
      </c>
      <c r="T97" s="14" t="n">
        <v>1</v>
      </c>
      <c r="U97" s="14" t="n">
        <v>1</v>
      </c>
      <c r="V97" s="14" t="n">
        <v>1</v>
      </c>
      <c r="W97" s="17" t="n">
        <f aca="false">DATE(YEAR(B97),MONTH(B97),1)</f>
        <v>46143</v>
      </c>
      <c r="X97" s="14" t="n">
        <f aca="false">IF(AND(N97&lt;&gt;"Cancelled",I97&lt;=AsOf),1,0)</f>
        <v>1</v>
      </c>
      <c r="Y97" s="14" t="n">
        <f aca="false">IF(AND(N97&lt;&gt;"Cancelled",OR(ISNUMBER(K97),N97="Completed")),1,0)</f>
        <v>1</v>
      </c>
      <c r="Z97" s="14" t="n">
        <f aca="false">IF(AND(Y97=1,U97=1,ISNUMBER(K97)),K97-I97,"")</f>
        <v>-10</v>
      </c>
      <c r="AA97" s="14" t="str">
        <f aca="false">IF(Z97="","",IF(Z97&lt;0,"Early",IF(Z97=0,"On Time","Late")))</f>
        <v>Early</v>
      </c>
      <c r="AB97" s="14" t="n">
        <f aca="false">IF(AND(N97&lt;&gt;"Cancelled",L97&lt;=AsOf),1,0)</f>
        <v>1</v>
      </c>
      <c r="AC97" s="14" t="n">
        <f aca="false">IF(AND(N97&lt;&gt;"Cancelled",OR(ISNUMBER(M97),N97="Completed")),1,0)</f>
        <v>1</v>
      </c>
      <c r="AD97" s="14" t="n">
        <f aca="false">IF(AND(AC97=1,V97=1,ISNUMBER(M97)),M97-L97,"")</f>
        <v>-10</v>
      </c>
      <c r="AE97" s="14" t="str">
        <f aca="false">IF(AD97="","",IF(AD97&lt;0,"Early",IF(AD97=0,"On Time","Late")))</f>
        <v>Early</v>
      </c>
      <c r="AF97" s="14" t="n">
        <f aca="false">IF(AND(T97=1,ISNUMBER(J97),N97&lt;&gt;"Cancelled"),J97-B97,"")</f>
        <v>19</v>
      </c>
      <c r="AG97" s="14" t="n">
        <f aca="false">IF(AND(AF97&lt;&gt;"",Z97&lt;&gt;""),K97-J97,"")</f>
        <v>1</v>
      </c>
      <c r="AH97" s="14" t="n">
        <f aca="false">IF(AND(Z97&lt;&gt;"",AD97&lt;&gt;""),M97-K97,"")</f>
        <v>5</v>
      </c>
      <c r="AI97" s="14" t="n">
        <f aca="false">IF(Z97&lt;&gt;"",K97-B97,"")</f>
        <v>20</v>
      </c>
      <c r="AJ97" s="14" t="n">
        <f aca="false">IF(AND(N97="Completed",AD97&lt;&gt;""),M97-B97,"")</f>
        <v>25</v>
      </c>
      <c r="AK97" s="14" t="str">
        <f aca="false">IF(N97="Cancelled","Cancelled",IF(N97="Completed","Completed",IF(Y97=1,"Awaiting Installation",IF(ISNUMBER(J97),"In Transit","In Production"))))</f>
        <v>Completed</v>
      </c>
      <c r="AL97" s="18" t="n">
        <f aca="false">IF(AND(N97="Pending",OR(AND(Y97=0,I97&lt;AsOf),AND(Y97=1,L97&lt;AsOf))),1,0)</f>
        <v>0</v>
      </c>
      <c r="AM97" s="14" t="str">
        <f aca="false">IF(AL97=1,IF(Y97=0,AsOf-I97,AsOf-L97),"")</f>
        <v/>
      </c>
      <c r="AN97" s="14" t="str">
        <f aca="false">IF(AL97=1,IF(Y97=0,"Delivery","Installation"),"")</f>
        <v/>
      </c>
      <c r="AO97" s="14" t="n">
        <f aca="false">IF(AND(OR(fCat="All",F97=fCat),OR(fCust="All",D97=fCust),OR(fReg="All",E97=fReg)),1,0)</f>
        <v>1</v>
      </c>
      <c r="AP97" s="14" t="n">
        <f aca="false">IF(AND(AL97=1,AO97=1),AM97+ROW()/100000,0)</f>
        <v>0</v>
      </c>
    </row>
    <row r="98" customFormat="false" ht="15" hidden="false" customHeight="false" outlineLevel="0" collapsed="false">
      <c r="A98" s="14" t="s">
        <v>524</v>
      </c>
      <c r="B98" s="15" t="n">
        <v>46154</v>
      </c>
      <c r="C98" s="14" t="s">
        <v>525</v>
      </c>
      <c r="D98" s="14" t="s">
        <v>149</v>
      </c>
      <c r="E98" s="14" t="s">
        <v>91</v>
      </c>
      <c r="F98" s="14" t="s">
        <v>160</v>
      </c>
      <c r="G98" s="14" t="n">
        <v>1</v>
      </c>
      <c r="H98" s="16" t="n">
        <v>144000</v>
      </c>
      <c r="I98" s="15" t="n">
        <v>46164</v>
      </c>
      <c r="J98" s="15" t="n">
        <v>46155</v>
      </c>
      <c r="K98" s="15" t="n">
        <v>46157</v>
      </c>
      <c r="L98" s="15" t="n">
        <v>46167</v>
      </c>
      <c r="M98" s="15" t="n">
        <v>46159</v>
      </c>
      <c r="N98" s="14" t="s">
        <v>75</v>
      </c>
      <c r="O98" s="14"/>
      <c r="P98" s="14"/>
      <c r="Q98" s="14"/>
      <c r="R98" s="14" t="s">
        <v>226</v>
      </c>
      <c r="S98" s="14" t="s">
        <v>745</v>
      </c>
      <c r="T98" s="14" t="n">
        <v>1</v>
      </c>
      <c r="U98" s="14" t="n">
        <v>1</v>
      </c>
      <c r="V98" s="14" t="n">
        <v>1</v>
      </c>
      <c r="W98" s="17" t="n">
        <f aca="false">DATE(YEAR(B98),MONTH(B98),1)</f>
        <v>46143</v>
      </c>
      <c r="X98" s="14" t="n">
        <f aca="false">IF(AND(N98&lt;&gt;"Cancelled",I98&lt;=AsOf),1,0)</f>
        <v>1</v>
      </c>
      <c r="Y98" s="14" t="n">
        <f aca="false">IF(AND(N98&lt;&gt;"Cancelled",OR(ISNUMBER(K98),N98="Completed")),1,0)</f>
        <v>1</v>
      </c>
      <c r="Z98" s="14" t="n">
        <f aca="false">IF(AND(Y98=1,U98=1,ISNUMBER(K98)),K98-I98,"")</f>
        <v>-7</v>
      </c>
      <c r="AA98" s="14" t="str">
        <f aca="false">IF(Z98="","",IF(Z98&lt;0,"Early",IF(Z98=0,"On Time","Late")))</f>
        <v>Early</v>
      </c>
      <c r="AB98" s="14" t="n">
        <f aca="false">IF(AND(N98&lt;&gt;"Cancelled",L98&lt;=AsOf),1,0)</f>
        <v>1</v>
      </c>
      <c r="AC98" s="14" t="n">
        <f aca="false">IF(AND(N98&lt;&gt;"Cancelled",OR(ISNUMBER(M98),N98="Completed")),1,0)</f>
        <v>1</v>
      </c>
      <c r="AD98" s="14" t="n">
        <f aca="false">IF(AND(AC98=1,V98=1,ISNUMBER(M98)),M98-L98,"")</f>
        <v>-8</v>
      </c>
      <c r="AE98" s="14" t="str">
        <f aca="false">IF(AD98="","",IF(AD98&lt;0,"Early",IF(AD98=0,"On Time","Late")))</f>
        <v>Early</v>
      </c>
      <c r="AF98" s="14" t="n">
        <f aca="false">IF(AND(T98=1,ISNUMBER(J98),N98&lt;&gt;"Cancelled"),J98-B98,"")</f>
        <v>1</v>
      </c>
      <c r="AG98" s="14" t="n">
        <f aca="false">IF(AND(AF98&lt;&gt;"",Z98&lt;&gt;""),K98-J98,"")</f>
        <v>2</v>
      </c>
      <c r="AH98" s="14" t="n">
        <f aca="false">IF(AND(Z98&lt;&gt;"",AD98&lt;&gt;""),M98-K98,"")</f>
        <v>2</v>
      </c>
      <c r="AI98" s="14" t="n">
        <f aca="false">IF(Z98&lt;&gt;"",K98-B98,"")</f>
        <v>3</v>
      </c>
      <c r="AJ98" s="14" t="n">
        <f aca="false">IF(AND(N98="Completed",AD98&lt;&gt;""),M98-B98,"")</f>
        <v>5</v>
      </c>
      <c r="AK98" s="14" t="str">
        <f aca="false">IF(N98="Cancelled","Cancelled",IF(N98="Completed","Completed",IF(Y98=1,"Awaiting Installation",IF(ISNUMBER(J98),"In Transit","In Production"))))</f>
        <v>Completed</v>
      </c>
      <c r="AL98" s="18" t="n">
        <f aca="false">IF(AND(N98="Pending",OR(AND(Y98=0,I98&lt;AsOf),AND(Y98=1,L98&lt;AsOf))),1,0)</f>
        <v>0</v>
      </c>
      <c r="AM98" s="14" t="str">
        <f aca="false">IF(AL98=1,IF(Y98=0,AsOf-I98,AsOf-L98),"")</f>
        <v/>
      </c>
      <c r="AN98" s="14" t="str">
        <f aca="false">IF(AL98=1,IF(Y98=0,"Delivery","Installation"),"")</f>
        <v/>
      </c>
      <c r="AO98" s="14" t="n">
        <f aca="false">IF(AND(OR(fCat="All",F98=fCat),OR(fCust="All",D98=fCust),OR(fReg="All",E98=fReg)),1,0)</f>
        <v>1</v>
      </c>
      <c r="AP98" s="14" t="n">
        <f aca="false">IF(AND(AL98=1,AO98=1),AM98+ROW()/100000,0)</f>
        <v>0</v>
      </c>
    </row>
    <row r="99" customFormat="false" ht="15" hidden="false" customHeight="false" outlineLevel="0" collapsed="false">
      <c r="A99" s="14" t="s">
        <v>527</v>
      </c>
      <c r="B99" s="15" t="n">
        <v>46154</v>
      </c>
      <c r="C99" s="14" t="s">
        <v>302</v>
      </c>
      <c r="D99" s="14" t="s">
        <v>90</v>
      </c>
      <c r="E99" s="14" t="s">
        <v>102</v>
      </c>
      <c r="F99" s="14" t="s">
        <v>160</v>
      </c>
      <c r="G99" s="14" t="n">
        <v>1</v>
      </c>
      <c r="H99" s="16" t="n">
        <v>118000</v>
      </c>
      <c r="I99" s="15" t="n">
        <v>46166</v>
      </c>
      <c r="J99" s="15" t="n">
        <v>46159</v>
      </c>
      <c r="K99" s="15" t="n">
        <v>46161</v>
      </c>
      <c r="L99" s="15" t="n">
        <v>46169</v>
      </c>
      <c r="M99" s="15" t="n">
        <v>46173</v>
      </c>
      <c r="N99" s="14" t="s">
        <v>75</v>
      </c>
      <c r="O99" s="14"/>
      <c r="P99" s="14" t="s">
        <v>183</v>
      </c>
      <c r="Q99" s="14"/>
      <c r="R99" s="14"/>
      <c r="S99" s="14" t="s">
        <v>745</v>
      </c>
      <c r="T99" s="14" t="n">
        <v>1</v>
      </c>
      <c r="U99" s="14" t="n">
        <v>1</v>
      </c>
      <c r="V99" s="14" t="n">
        <v>1</v>
      </c>
      <c r="W99" s="17" t="n">
        <f aca="false">DATE(YEAR(B99),MONTH(B99),1)</f>
        <v>46143</v>
      </c>
      <c r="X99" s="14" t="n">
        <f aca="false">IF(AND(N99&lt;&gt;"Cancelled",I99&lt;=AsOf),1,0)</f>
        <v>1</v>
      </c>
      <c r="Y99" s="14" t="n">
        <f aca="false">IF(AND(N99&lt;&gt;"Cancelled",OR(ISNUMBER(K99),N99="Completed")),1,0)</f>
        <v>1</v>
      </c>
      <c r="Z99" s="14" t="n">
        <f aca="false">IF(AND(Y99=1,U99=1,ISNUMBER(K99)),K99-I99,"")</f>
        <v>-5</v>
      </c>
      <c r="AA99" s="14" t="str">
        <f aca="false">IF(Z99="","",IF(Z99&lt;0,"Early",IF(Z99=0,"On Time","Late")))</f>
        <v>Early</v>
      </c>
      <c r="AB99" s="14" t="n">
        <f aca="false">IF(AND(N99&lt;&gt;"Cancelled",L99&lt;=AsOf),1,0)</f>
        <v>1</v>
      </c>
      <c r="AC99" s="14" t="n">
        <f aca="false">IF(AND(N99&lt;&gt;"Cancelled",OR(ISNUMBER(M99),N99="Completed")),1,0)</f>
        <v>1</v>
      </c>
      <c r="AD99" s="14" t="n">
        <f aca="false">IF(AND(AC99=1,V99=1,ISNUMBER(M99)),M99-L99,"")</f>
        <v>4</v>
      </c>
      <c r="AE99" s="14" t="str">
        <f aca="false">IF(AD99="","",IF(AD99&lt;0,"Early",IF(AD99=0,"On Time","Late")))</f>
        <v>Late</v>
      </c>
      <c r="AF99" s="14" t="n">
        <f aca="false">IF(AND(T99=1,ISNUMBER(J99),N99&lt;&gt;"Cancelled"),J99-B99,"")</f>
        <v>5</v>
      </c>
      <c r="AG99" s="14" t="n">
        <f aca="false">IF(AND(AF99&lt;&gt;"",Z99&lt;&gt;""),K99-J99,"")</f>
        <v>2</v>
      </c>
      <c r="AH99" s="14" t="n">
        <f aca="false">IF(AND(Z99&lt;&gt;"",AD99&lt;&gt;""),M99-K99,"")</f>
        <v>12</v>
      </c>
      <c r="AI99" s="14" t="n">
        <f aca="false">IF(Z99&lt;&gt;"",K99-B99,"")</f>
        <v>7</v>
      </c>
      <c r="AJ99" s="14" t="n">
        <f aca="false">IF(AND(N99="Completed",AD99&lt;&gt;""),M99-B99,"")</f>
        <v>19</v>
      </c>
      <c r="AK99" s="14" t="str">
        <f aca="false">IF(N99="Cancelled","Cancelled",IF(N99="Completed","Completed",IF(Y99=1,"Awaiting Installation",IF(ISNUMBER(J99),"In Transit","In Production"))))</f>
        <v>Completed</v>
      </c>
      <c r="AL99" s="18" t="n">
        <f aca="false">IF(AND(N99="Pending",OR(AND(Y99=0,I99&lt;AsOf),AND(Y99=1,L99&lt;AsOf))),1,0)</f>
        <v>0</v>
      </c>
      <c r="AM99" s="14" t="str">
        <f aca="false">IF(AL99=1,IF(Y99=0,AsOf-I99,AsOf-L99),"")</f>
        <v/>
      </c>
      <c r="AN99" s="14" t="str">
        <f aca="false">IF(AL99=1,IF(Y99=0,"Delivery","Installation"),"")</f>
        <v/>
      </c>
      <c r="AO99" s="14" t="n">
        <f aca="false">IF(AND(OR(fCat="All",F99=fCat),OR(fCust="All",D99=fCust),OR(fReg="All",E99=fReg)),1,0)</f>
        <v>1</v>
      </c>
      <c r="AP99" s="14" t="n">
        <f aca="false">IF(AND(AL99=1,AO99=1),AM99+ROW()/100000,0)</f>
        <v>0</v>
      </c>
    </row>
    <row r="100" customFormat="false" ht="15" hidden="false" customHeight="false" outlineLevel="0" collapsed="false">
      <c r="A100" s="14" t="s">
        <v>529</v>
      </c>
      <c r="B100" s="15" t="n">
        <v>46155</v>
      </c>
      <c r="C100" s="14" t="s">
        <v>530</v>
      </c>
      <c r="D100" s="14" t="s">
        <v>65</v>
      </c>
      <c r="E100" s="14" t="s">
        <v>91</v>
      </c>
      <c r="F100" s="14" t="s">
        <v>67</v>
      </c>
      <c r="G100" s="14" t="n">
        <v>1</v>
      </c>
      <c r="H100" s="16" t="n">
        <v>502000</v>
      </c>
      <c r="I100" s="15" t="n">
        <v>46173</v>
      </c>
      <c r="J100" s="15" t="n">
        <v>46166</v>
      </c>
      <c r="K100" s="15" t="n">
        <v>46167</v>
      </c>
      <c r="L100" s="15" t="n">
        <v>46178</v>
      </c>
      <c r="M100" s="15" t="n">
        <v>46172</v>
      </c>
      <c r="N100" s="14" t="s">
        <v>75</v>
      </c>
      <c r="O100" s="14"/>
      <c r="P100" s="14"/>
      <c r="Q100" s="14"/>
      <c r="R100" s="14"/>
      <c r="S100" s="14" t="s">
        <v>745</v>
      </c>
      <c r="T100" s="14" t="n">
        <v>1</v>
      </c>
      <c r="U100" s="14" t="n">
        <v>1</v>
      </c>
      <c r="V100" s="14" t="n">
        <v>1</v>
      </c>
      <c r="W100" s="17" t="n">
        <f aca="false">DATE(YEAR(B100),MONTH(B100),1)</f>
        <v>46143</v>
      </c>
      <c r="X100" s="14" t="n">
        <f aca="false">IF(AND(N100&lt;&gt;"Cancelled",I100&lt;=AsOf),1,0)</f>
        <v>1</v>
      </c>
      <c r="Y100" s="14" t="n">
        <f aca="false">IF(AND(N100&lt;&gt;"Cancelled",OR(ISNUMBER(K100),N100="Completed")),1,0)</f>
        <v>1</v>
      </c>
      <c r="Z100" s="14" t="n">
        <f aca="false">IF(AND(Y100=1,U100=1,ISNUMBER(K100)),K100-I100,"")</f>
        <v>-6</v>
      </c>
      <c r="AA100" s="14" t="str">
        <f aca="false">IF(Z100="","",IF(Z100&lt;0,"Early",IF(Z100=0,"On Time","Late")))</f>
        <v>Early</v>
      </c>
      <c r="AB100" s="14" t="n">
        <f aca="false">IF(AND(N100&lt;&gt;"Cancelled",L100&lt;=AsOf),1,0)</f>
        <v>1</v>
      </c>
      <c r="AC100" s="14" t="n">
        <f aca="false">IF(AND(N100&lt;&gt;"Cancelled",OR(ISNUMBER(M100),N100="Completed")),1,0)</f>
        <v>1</v>
      </c>
      <c r="AD100" s="14" t="n">
        <f aca="false">IF(AND(AC100=1,V100=1,ISNUMBER(M100)),M100-L100,"")</f>
        <v>-6</v>
      </c>
      <c r="AE100" s="14" t="str">
        <f aca="false">IF(AD100="","",IF(AD100&lt;0,"Early",IF(AD100=0,"On Time","Late")))</f>
        <v>Early</v>
      </c>
      <c r="AF100" s="14" t="n">
        <f aca="false">IF(AND(T100=1,ISNUMBER(J100),N100&lt;&gt;"Cancelled"),J100-B100,"")</f>
        <v>11</v>
      </c>
      <c r="AG100" s="14" t="n">
        <f aca="false">IF(AND(AF100&lt;&gt;"",Z100&lt;&gt;""),K100-J100,"")</f>
        <v>1</v>
      </c>
      <c r="AH100" s="14" t="n">
        <f aca="false">IF(AND(Z100&lt;&gt;"",AD100&lt;&gt;""),M100-K100,"")</f>
        <v>5</v>
      </c>
      <c r="AI100" s="14" t="n">
        <f aca="false">IF(Z100&lt;&gt;"",K100-B100,"")</f>
        <v>12</v>
      </c>
      <c r="AJ100" s="14" t="n">
        <f aca="false">IF(AND(N100="Completed",AD100&lt;&gt;""),M100-B100,"")</f>
        <v>17</v>
      </c>
      <c r="AK100" s="14" t="str">
        <f aca="false">IF(N100="Cancelled","Cancelled",IF(N100="Completed","Completed",IF(Y100=1,"Awaiting Installation",IF(ISNUMBER(J100),"In Transit","In Production"))))</f>
        <v>Completed</v>
      </c>
      <c r="AL100" s="18" t="n">
        <f aca="false">IF(AND(N100="Pending",OR(AND(Y100=0,I100&lt;AsOf),AND(Y100=1,L100&lt;AsOf))),1,0)</f>
        <v>0</v>
      </c>
      <c r="AM100" s="14" t="str">
        <f aca="false">IF(AL100=1,IF(Y100=0,AsOf-I100,AsOf-L100),"")</f>
        <v/>
      </c>
      <c r="AN100" s="14" t="str">
        <f aca="false">IF(AL100=1,IF(Y100=0,"Delivery","Installation"),"")</f>
        <v/>
      </c>
      <c r="AO100" s="14" t="n">
        <f aca="false">IF(AND(OR(fCat="All",F100=fCat),OR(fCust="All",D100=fCust),OR(fReg="All",E100=fReg)),1,0)</f>
        <v>1</v>
      </c>
      <c r="AP100" s="14" t="n">
        <f aca="false">IF(AND(AL100=1,AO100=1),AM100+ROW()/100000,0)</f>
        <v>0</v>
      </c>
    </row>
    <row r="101" customFormat="false" ht="15" hidden="false" customHeight="false" outlineLevel="0" collapsed="false">
      <c r="A101" s="14" t="s">
        <v>532</v>
      </c>
      <c r="B101" s="15" t="n">
        <v>46155</v>
      </c>
      <c r="C101" s="14" t="s">
        <v>533</v>
      </c>
      <c r="D101" s="14" t="s">
        <v>90</v>
      </c>
      <c r="E101" s="14" t="s">
        <v>66</v>
      </c>
      <c r="F101" s="14" t="s">
        <v>121</v>
      </c>
      <c r="G101" s="14" t="n">
        <v>1</v>
      </c>
      <c r="H101" s="16" t="n">
        <v>1200000</v>
      </c>
      <c r="I101" s="15" t="n">
        <v>46189</v>
      </c>
      <c r="J101" s="15" t="n">
        <v>46194</v>
      </c>
      <c r="K101" s="15"/>
      <c r="L101" s="15" t="n">
        <v>46194</v>
      </c>
      <c r="M101" s="15"/>
      <c r="N101" s="14" t="s">
        <v>328</v>
      </c>
      <c r="O101" s="14" t="s">
        <v>329</v>
      </c>
      <c r="P101" s="14"/>
      <c r="Q101" s="14"/>
      <c r="R101" s="14" t="s">
        <v>134</v>
      </c>
      <c r="S101" s="14" t="s">
        <v>745</v>
      </c>
      <c r="T101" s="14" t="n">
        <v>1</v>
      </c>
      <c r="U101" s="14" t="n">
        <v>1</v>
      </c>
      <c r="V101" s="14" t="n">
        <v>1</v>
      </c>
      <c r="W101" s="17" t="n">
        <f aca="false">DATE(YEAR(B101),MONTH(B101),1)</f>
        <v>46143</v>
      </c>
      <c r="X101" s="14" t="n">
        <f aca="false">IF(AND(N101&lt;&gt;"Cancelled",I101&lt;=AsOf),1,0)</f>
        <v>1</v>
      </c>
      <c r="Y101" s="14" t="n">
        <f aca="false">IF(AND(N101&lt;&gt;"Cancelled",OR(ISNUMBER(K101),N101="Completed")),1,0)</f>
        <v>0</v>
      </c>
      <c r="Z101" s="14" t="str">
        <f aca="false">IF(AND(Y101=1,U101=1,ISNUMBER(K101)),K101-I101,"")</f>
        <v/>
      </c>
      <c r="AA101" s="14" t="str">
        <f aca="false">IF(Z101="","",IF(Z101&lt;0,"Early",IF(Z101=0,"On Time","Late")))</f>
        <v/>
      </c>
      <c r="AB101" s="14" t="n">
        <f aca="false">IF(AND(N101&lt;&gt;"Cancelled",L101&lt;=AsOf),1,0)</f>
        <v>1</v>
      </c>
      <c r="AC101" s="14" t="n">
        <f aca="false">IF(AND(N101&lt;&gt;"Cancelled",OR(ISNUMBER(M101),N101="Completed")),1,0)</f>
        <v>0</v>
      </c>
      <c r="AD101" s="14" t="str">
        <f aca="false">IF(AND(AC101=1,V101=1,ISNUMBER(M101)),M101-L101,"")</f>
        <v/>
      </c>
      <c r="AE101" s="14" t="str">
        <f aca="false">IF(AD101="","",IF(AD101&lt;0,"Early",IF(AD101=0,"On Time","Late")))</f>
        <v/>
      </c>
      <c r="AF101" s="14" t="n">
        <f aca="false">IF(AND(T101=1,ISNUMBER(J101),N101&lt;&gt;"Cancelled"),J101-B101,"")</f>
        <v>39</v>
      </c>
      <c r="AG101" s="14" t="str">
        <f aca="false">IF(AND(AF101&lt;&gt;"",Z101&lt;&gt;""),K101-J101,"")</f>
        <v/>
      </c>
      <c r="AH101" s="14" t="str">
        <f aca="false">IF(AND(Z101&lt;&gt;"",AD101&lt;&gt;""),M101-K101,"")</f>
        <v/>
      </c>
      <c r="AI101" s="14" t="str">
        <f aca="false">IF(Z101&lt;&gt;"",K101-B101,"")</f>
        <v/>
      </c>
      <c r="AJ101" s="14" t="str">
        <f aca="false">IF(AND(N101="Completed",AD101&lt;&gt;""),M101-B101,"")</f>
        <v/>
      </c>
      <c r="AK101" s="14" t="str">
        <f aca="false">IF(N101="Cancelled","Cancelled",IF(N101="Completed","Completed",IF(Y101=1,"Awaiting Installation",IF(ISNUMBER(J101),"In Transit","In Production"))))</f>
        <v>In Transit</v>
      </c>
      <c r="AL101" s="18" t="n">
        <f aca="false">IF(AND(N101="Pending",OR(AND(Y101=0,I101&lt;AsOf),AND(Y101=1,L101&lt;AsOf))),1,0)</f>
        <v>1</v>
      </c>
      <c r="AM101" s="14" t="n">
        <f aca="false">IF(AL101=1,IF(Y101=0,AsOf-I101,AsOf-L101),"")</f>
        <v>14</v>
      </c>
      <c r="AN101" s="14" t="str">
        <f aca="false">IF(AL101=1,IF(Y101=0,"Delivery","Installation"),"")</f>
        <v>Delivery</v>
      </c>
      <c r="AO101" s="14" t="n">
        <f aca="false">IF(AND(OR(fCat="All",F101=fCat),OR(fCust="All",D101=fCust),OR(fReg="All",E101=fReg)),1,0)</f>
        <v>1</v>
      </c>
      <c r="AP101" s="14" t="n">
        <f aca="false">IF(AND(AL101=1,AO101=1),AM101+ROW()/100000,0)</f>
        <v>14.00101</v>
      </c>
    </row>
    <row r="102" customFormat="false" ht="15" hidden="false" customHeight="false" outlineLevel="0" collapsed="false">
      <c r="A102" s="14" t="s">
        <v>535</v>
      </c>
      <c r="B102" s="15" t="n">
        <v>46155</v>
      </c>
      <c r="C102" s="14" t="s">
        <v>373</v>
      </c>
      <c r="D102" s="14" t="s">
        <v>149</v>
      </c>
      <c r="E102" s="14" t="s">
        <v>102</v>
      </c>
      <c r="F102" s="14" t="s">
        <v>160</v>
      </c>
      <c r="G102" s="14" t="n">
        <v>1</v>
      </c>
      <c r="H102" s="16" t="n">
        <v>86000</v>
      </c>
      <c r="I102" s="15" t="n">
        <v>46167</v>
      </c>
      <c r="J102" s="15" t="n">
        <v>46158</v>
      </c>
      <c r="K102" s="15" t="n">
        <v>46160</v>
      </c>
      <c r="L102" s="15" t="n">
        <v>46170</v>
      </c>
      <c r="M102" s="15" t="n">
        <v>46173</v>
      </c>
      <c r="N102" s="14" t="s">
        <v>75</v>
      </c>
      <c r="O102" s="14"/>
      <c r="P102" s="14" t="s">
        <v>183</v>
      </c>
      <c r="Q102" s="14"/>
      <c r="R102" s="14"/>
      <c r="S102" s="14" t="s">
        <v>745</v>
      </c>
      <c r="T102" s="14" t="n">
        <v>1</v>
      </c>
      <c r="U102" s="14" t="n">
        <v>1</v>
      </c>
      <c r="V102" s="14" t="n">
        <v>1</v>
      </c>
      <c r="W102" s="17" t="n">
        <f aca="false">DATE(YEAR(B102),MONTH(B102),1)</f>
        <v>46143</v>
      </c>
      <c r="X102" s="14" t="n">
        <f aca="false">IF(AND(N102&lt;&gt;"Cancelled",I102&lt;=AsOf),1,0)</f>
        <v>1</v>
      </c>
      <c r="Y102" s="14" t="n">
        <f aca="false">IF(AND(N102&lt;&gt;"Cancelled",OR(ISNUMBER(K102),N102="Completed")),1,0)</f>
        <v>1</v>
      </c>
      <c r="Z102" s="14" t="n">
        <f aca="false">IF(AND(Y102=1,U102=1,ISNUMBER(K102)),K102-I102,"")</f>
        <v>-7</v>
      </c>
      <c r="AA102" s="14" t="str">
        <f aca="false">IF(Z102="","",IF(Z102&lt;0,"Early",IF(Z102=0,"On Time","Late")))</f>
        <v>Early</v>
      </c>
      <c r="AB102" s="14" t="n">
        <f aca="false">IF(AND(N102&lt;&gt;"Cancelled",L102&lt;=AsOf),1,0)</f>
        <v>1</v>
      </c>
      <c r="AC102" s="14" t="n">
        <f aca="false">IF(AND(N102&lt;&gt;"Cancelled",OR(ISNUMBER(M102),N102="Completed")),1,0)</f>
        <v>1</v>
      </c>
      <c r="AD102" s="14" t="n">
        <f aca="false">IF(AND(AC102=1,V102=1,ISNUMBER(M102)),M102-L102,"")</f>
        <v>3</v>
      </c>
      <c r="AE102" s="14" t="str">
        <f aca="false">IF(AD102="","",IF(AD102&lt;0,"Early",IF(AD102=0,"On Time","Late")))</f>
        <v>Late</v>
      </c>
      <c r="AF102" s="14" t="n">
        <f aca="false">IF(AND(T102=1,ISNUMBER(J102),N102&lt;&gt;"Cancelled"),J102-B102,"")</f>
        <v>3</v>
      </c>
      <c r="AG102" s="14" t="n">
        <f aca="false">IF(AND(AF102&lt;&gt;"",Z102&lt;&gt;""),K102-J102,"")</f>
        <v>2</v>
      </c>
      <c r="AH102" s="14" t="n">
        <f aca="false">IF(AND(Z102&lt;&gt;"",AD102&lt;&gt;""),M102-K102,"")</f>
        <v>13</v>
      </c>
      <c r="AI102" s="14" t="n">
        <f aca="false">IF(Z102&lt;&gt;"",K102-B102,"")</f>
        <v>5</v>
      </c>
      <c r="AJ102" s="14" t="n">
        <f aca="false">IF(AND(N102="Completed",AD102&lt;&gt;""),M102-B102,"")</f>
        <v>18</v>
      </c>
      <c r="AK102" s="14" t="str">
        <f aca="false">IF(N102="Cancelled","Cancelled",IF(N102="Completed","Completed",IF(Y102=1,"Awaiting Installation",IF(ISNUMBER(J102),"In Transit","In Production"))))</f>
        <v>Completed</v>
      </c>
      <c r="AL102" s="18" t="n">
        <f aca="false">IF(AND(N102="Pending",OR(AND(Y102=0,I102&lt;AsOf),AND(Y102=1,L102&lt;AsOf))),1,0)</f>
        <v>0</v>
      </c>
      <c r="AM102" s="14" t="str">
        <f aca="false">IF(AL102=1,IF(Y102=0,AsOf-I102,AsOf-L102),"")</f>
        <v/>
      </c>
      <c r="AN102" s="14" t="str">
        <f aca="false">IF(AL102=1,IF(Y102=0,"Delivery","Installation"),"")</f>
        <v/>
      </c>
      <c r="AO102" s="14" t="n">
        <f aca="false">IF(AND(OR(fCat="All",F102=fCat),OR(fCust="All",D102=fCust),OR(fReg="All",E102=fReg)),1,0)</f>
        <v>1</v>
      </c>
      <c r="AP102" s="14" t="n">
        <f aca="false">IF(AND(AL102=1,AO102=1),AM102+ROW()/100000,0)</f>
        <v>0</v>
      </c>
    </row>
    <row r="103" customFormat="false" ht="15" hidden="false" customHeight="false" outlineLevel="0" collapsed="false">
      <c r="A103" s="14" t="s">
        <v>537</v>
      </c>
      <c r="B103" s="15" t="n">
        <v>46155</v>
      </c>
      <c r="C103" s="14" t="s">
        <v>477</v>
      </c>
      <c r="D103" s="14" t="s">
        <v>90</v>
      </c>
      <c r="E103" s="14" t="s">
        <v>91</v>
      </c>
      <c r="F103" s="14" t="s">
        <v>103</v>
      </c>
      <c r="G103" s="14" t="n">
        <v>1</v>
      </c>
      <c r="H103" s="16" t="n">
        <v>661000</v>
      </c>
      <c r="I103" s="15" t="n">
        <v>46176</v>
      </c>
      <c r="J103" s="15" t="n">
        <v>46167</v>
      </c>
      <c r="K103" s="15" t="n">
        <v>46168</v>
      </c>
      <c r="L103" s="15" t="n">
        <v>46181</v>
      </c>
      <c r="M103" s="15"/>
      <c r="N103" s="14" t="s">
        <v>328</v>
      </c>
      <c r="O103" s="14"/>
      <c r="P103" s="14"/>
      <c r="Q103" s="14"/>
      <c r="R103" s="14"/>
      <c r="S103" s="14" t="s">
        <v>745</v>
      </c>
      <c r="T103" s="14" t="n">
        <v>1</v>
      </c>
      <c r="U103" s="14" t="n">
        <v>1</v>
      </c>
      <c r="V103" s="14" t="n">
        <v>1</v>
      </c>
      <c r="W103" s="17" t="n">
        <f aca="false">DATE(YEAR(B103),MONTH(B103),1)</f>
        <v>46143</v>
      </c>
      <c r="X103" s="14" t="n">
        <f aca="false">IF(AND(N103&lt;&gt;"Cancelled",I103&lt;=AsOf),1,0)</f>
        <v>1</v>
      </c>
      <c r="Y103" s="14" t="n">
        <f aca="false">IF(AND(N103&lt;&gt;"Cancelled",OR(ISNUMBER(K103),N103="Completed")),1,0)</f>
        <v>1</v>
      </c>
      <c r="Z103" s="14" t="n">
        <f aca="false">IF(AND(Y103=1,U103=1,ISNUMBER(K103)),K103-I103,"")</f>
        <v>-8</v>
      </c>
      <c r="AA103" s="14" t="str">
        <f aca="false">IF(Z103="","",IF(Z103&lt;0,"Early",IF(Z103=0,"On Time","Late")))</f>
        <v>Early</v>
      </c>
      <c r="AB103" s="14" t="n">
        <f aca="false">IF(AND(N103&lt;&gt;"Cancelled",L103&lt;=AsOf),1,0)</f>
        <v>1</v>
      </c>
      <c r="AC103" s="14" t="n">
        <f aca="false">IF(AND(N103&lt;&gt;"Cancelled",OR(ISNUMBER(M103),N103="Completed")),1,0)</f>
        <v>0</v>
      </c>
      <c r="AD103" s="14" t="str">
        <f aca="false">IF(AND(AC103=1,V103=1,ISNUMBER(M103)),M103-L103,"")</f>
        <v/>
      </c>
      <c r="AE103" s="14" t="str">
        <f aca="false">IF(AD103="","",IF(AD103&lt;0,"Early",IF(AD103=0,"On Time","Late")))</f>
        <v/>
      </c>
      <c r="AF103" s="14" t="n">
        <f aca="false">IF(AND(T103=1,ISNUMBER(J103),N103&lt;&gt;"Cancelled"),J103-B103,"")</f>
        <v>12</v>
      </c>
      <c r="AG103" s="14" t="n">
        <f aca="false">IF(AND(AF103&lt;&gt;"",Z103&lt;&gt;""),K103-J103,"")</f>
        <v>1</v>
      </c>
      <c r="AH103" s="14" t="str">
        <f aca="false">IF(AND(Z103&lt;&gt;"",AD103&lt;&gt;""),M103-K103,"")</f>
        <v/>
      </c>
      <c r="AI103" s="14" t="n">
        <f aca="false">IF(Z103&lt;&gt;"",K103-B103,"")</f>
        <v>13</v>
      </c>
      <c r="AJ103" s="14" t="str">
        <f aca="false">IF(AND(N103="Completed",AD103&lt;&gt;""),M103-B103,"")</f>
        <v/>
      </c>
      <c r="AK103" s="14" t="str">
        <f aca="false">IF(N103="Cancelled","Cancelled",IF(N103="Completed","Completed",IF(Y103=1,"Awaiting Installation",IF(ISNUMBER(J103),"In Transit","In Production"))))</f>
        <v>Awaiting Installation</v>
      </c>
      <c r="AL103" s="18" t="n">
        <f aca="false">IF(AND(N103="Pending",OR(AND(Y103=0,I103&lt;AsOf),AND(Y103=1,L103&lt;AsOf))),1,0)</f>
        <v>1</v>
      </c>
      <c r="AM103" s="14" t="n">
        <f aca="false">IF(AL103=1,IF(Y103=0,AsOf-I103,AsOf-L103),"")</f>
        <v>22</v>
      </c>
      <c r="AN103" s="14" t="str">
        <f aca="false">IF(AL103=1,IF(Y103=0,"Delivery","Installation"),"")</f>
        <v>Installation</v>
      </c>
      <c r="AO103" s="14" t="n">
        <f aca="false">IF(AND(OR(fCat="All",F103=fCat),OR(fCust="All",D103=fCust),OR(fReg="All",E103=fReg)),1,0)</f>
        <v>1</v>
      </c>
      <c r="AP103" s="14" t="n">
        <f aca="false">IF(AND(AL103=1,AO103=1),AM103+ROW()/100000,0)</f>
        <v>22.00103</v>
      </c>
    </row>
    <row r="104" customFormat="false" ht="15" hidden="false" customHeight="false" outlineLevel="0" collapsed="false">
      <c r="A104" s="14" t="s">
        <v>540</v>
      </c>
      <c r="B104" s="15" t="n">
        <v>46156</v>
      </c>
      <c r="C104" s="14" t="s">
        <v>541</v>
      </c>
      <c r="D104" s="14" t="s">
        <v>65</v>
      </c>
      <c r="E104" s="14" t="s">
        <v>66</v>
      </c>
      <c r="F104" s="14" t="s">
        <v>67</v>
      </c>
      <c r="G104" s="14" t="n">
        <v>1</v>
      </c>
      <c r="H104" s="16" t="n">
        <v>547000</v>
      </c>
      <c r="I104" s="15" t="n">
        <v>46178</v>
      </c>
      <c r="J104" s="15" t="n">
        <v>46175</v>
      </c>
      <c r="K104" s="15" t="n">
        <v>46187</v>
      </c>
      <c r="L104" s="15" t="n">
        <v>46183</v>
      </c>
      <c r="M104" s="15" t="n">
        <v>46194</v>
      </c>
      <c r="N104" s="14" t="s">
        <v>75</v>
      </c>
      <c r="O104" s="14"/>
      <c r="P104" s="14" t="s">
        <v>111</v>
      </c>
      <c r="Q104" s="14"/>
      <c r="R104" s="14" t="s">
        <v>134</v>
      </c>
      <c r="S104" s="14" t="s">
        <v>745</v>
      </c>
      <c r="T104" s="14" t="n">
        <v>1</v>
      </c>
      <c r="U104" s="14" t="n">
        <v>1</v>
      </c>
      <c r="V104" s="14" t="n">
        <v>1</v>
      </c>
      <c r="W104" s="17" t="n">
        <f aca="false">DATE(YEAR(B104),MONTH(B104),1)</f>
        <v>46143</v>
      </c>
      <c r="X104" s="14" t="n">
        <f aca="false">IF(AND(N104&lt;&gt;"Cancelled",I104&lt;=AsOf),1,0)</f>
        <v>1</v>
      </c>
      <c r="Y104" s="14" t="n">
        <f aca="false">IF(AND(N104&lt;&gt;"Cancelled",OR(ISNUMBER(K104),N104="Completed")),1,0)</f>
        <v>1</v>
      </c>
      <c r="Z104" s="14" t="n">
        <f aca="false">IF(AND(Y104=1,U104=1,ISNUMBER(K104)),K104-I104,"")</f>
        <v>9</v>
      </c>
      <c r="AA104" s="14" t="str">
        <f aca="false">IF(Z104="","",IF(Z104&lt;0,"Early",IF(Z104=0,"On Time","Late")))</f>
        <v>Late</v>
      </c>
      <c r="AB104" s="14" t="n">
        <f aca="false">IF(AND(N104&lt;&gt;"Cancelled",L104&lt;=AsOf),1,0)</f>
        <v>1</v>
      </c>
      <c r="AC104" s="14" t="n">
        <f aca="false">IF(AND(N104&lt;&gt;"Cancelled",OR(ISNUMBER(M104),N104="Completed")),1,0)</f>
        <v>1</v>
      </c>
      <c r="AD104" s="14" t="n">
        <f aca="false">IF(AND(AC104=1,V104=1,ISNUMBER(M104)),M104-L104,"")</f>
        <v>11</v>
      </c>
      <c r="AE104" s="14" t="str">
        <f aca="false">IF(AD104="","",IF(AD104&lt;0,"Early",IF(AD104=0,"On Time","Late")))</f>
        <v>Late</v>
      </c>
      <c r="AF104" s="14" t="n">
        <f aca="false">IF(AND(T104=1,ISNUMBER(J104),N104&lt;&gt;"Cancelled"),J104-B104,"")</f>
        <v>19</v>
      </c>
      <c r="AG104" s="14" t="n">
        <f aca="false">IF(AND(AF104&lt;&gt;"",Z104&lt;&gt;""),K104-J104,"")</f>
        <v>12</v>
      </c>
      <c r="AH104" s="14" t="n">
        <f aca="false">IF(AND(Z104&lt;&gt;"",AD104&lt;&gt;""),M104-K104,"")</f>
        <v>7</v>
      </c>
      <c r="AI104" s="14" t="n">
        <f aca="false">IF(Z104&lt;&gt;"",K104-B104,"")</f>
        <v>31</v>
      </c>
      <c r="AJ104" s="14" t="n">
        <f aca="false">IF(AND(N104="Completed",AD104&lt;&gt;""),M104-B104,"")</f>
        <v>38</v>
      </c>
      <c r="AK104" s="14" t="str">
        <f aca="false">IF(N104="Cancelled","Cancelled",IF(N104="Completed","Completed",IF(Y104=1,"Awaiting Installation",IF(ISNUMBER(J104),"In Transit","In Production"))))</f>
        <v>Completed</v>
      </c>
      <c r="AL104" s="18" t="n">
        <f aca="false">IF(AND(N104="Pending",OR(AND(Y104=0,I104&lt;AsOf),AND(Y104=1,L104&lt;AsOf))),1,0)</f>
        <v>0</v>
      </c>
      <c r="AM104" s="14" t="str">
        <f aca="false">IF(AL104=1,IF(Y104=0,AsOf-I104,AsOf-L104),"")</f>
        <v/>
      </c>
      <c r="AN104" s="14" t="str">
        <f aca="false">IF(AL104=1,IF(Y104=0,"Delivery","Installation"),"")</f>
        <v/>
      </c>
      <c r="AO104" s="14" t="n">
        <f aca="false">IF(AND(OR(fCat="All",F104=fCat),OR(fCust="All",D104=fCust),OR(fReg="All",E104=fReg)),1,0)</f>
        <v>1</v>
      </c>
      <c r="AP104" s="14" t="n">
        <f aca="false">IF(AND(AL104=1,AO104=1),AM104+ROW()/100000,0)</f>
        <v>0</v>
      </c>
    </row>
    <row r="105" customFormat="false" ht="15" hidden="false" customHeight="false" outlineLevel="0" collapsed="false">
      <c r="A105" s="14" t="s">
        <v>544</v>
      </c>
      <c r="B105" s="15" t="n">
        <v>46156</v>
      </c>
      <c r="C105" s="14" t="s">
        <v>545</v>
      </c>
      <c r="D105" s="14" t="s">
        <v>90</v>
      </c>
      <c r="E105" s="14" t="s">
        <v>91</v>
      </c>
      <c r="F105" s="14" t="s">
        <v>121</v>
      </c>
      <c r="G105" s="14" t="n">
        <v>1</v>
      </c>
      <c r="H105" s="16" t="n">
        <v>904000</v>
      </c>
      <c r="I105" s="15" t="n">
        <v>46186</v>
      </c>
      <c r="J105" s="15" t="n">
        <v>46184</v>
      </c>
      <c r="K105" s="15" t="n">
        <v>46186</v>
      </c>
      <c r="L105" s="15" t="n">
        <v>46191</v>
      </c>
      <c r="M105" s="15" t="n">
        <v>46189</v>
      </c>
      <c r="N105" s="14" t="s">
        <v>75</v>
      </c>
      <c r="O105" s="14"/>
      <c r="P105" s="14"/>
      <c r="Q105" s="14"/>
      <c r="R105" s="14"/>
      <c r="S105" s="14" t="s">
        <v>745</v>
      </c>
      <c r="T105" s="14" t="n">
        <v>1</v>
      </c>
      <c r="U105" s="14" t="n">
        <v>1</v>
      </c>
      <c r="V105" s="14" t="n">
        <v>1</v>
      </c>
      <c r="W105" s="17" t="n">
        <f aca="false">DATE(YEAR(B105),MONTH(B105),1)</f>
        <v>46143</v>
      </c>
      <c r="X105" s="14" t="n">
        <f aca="false">IF(AND(N105&lt;&gt;"Cancelled",I105&lt;=AsOf),1,0)</f>
        <v>1</v>
      </c>
      <c r="Y105" s="14" t="n">
        <f aca="false">IF(AND(N105&lt;&gt;"Cancelled",OR(ISNUMBER(K105),N105="Completed")),1,0)</f>
        <v>1</v>
      </c>
      <c r="Z105" s="14" t="n">
        <f aca="false">IF(AND(Y105=1,U105=1,ISNUMBER(K105)),K105-I105,"")</f>
        <v>0</v>
      </c>
      <c r="AA105" s="14" t="str">
        <f aca="false">IF(Z105="","",IF(Z105&lt;0,"Early",IF(Z105=0,"On Time","Late")))</f>
        <v>On Time</v>
      </c>
      <c r="AB105" s="14" t="n">
        <f aca="false">IF(AND(N105&lt;&gt;"Cancelled",L105&lt;=AsOf),1,0)</f>
        <v>1</v>
      </c>
      <c r="AC105" s="14" t="n">
        <f aca="false">IF(AND(N105&lt;&gt;"Cancelled",OR(ISNUMBER(M105),N105="Completed")),1,0)</f>
        <v>1</v>
      </c>
      <c r="AD105" s="14" t="n">
        <f aca="false">IF(AND(AC105=1,V105=1,ISNUMBER(M105)),M105-L105,"")</f>
        <v>-2</v>
      </c>
      <c r="AE105" s="14" t="str">
        <f aca="false">IF(AD105="","",IF(AD105&lt;0,"Early",IF(AD105=0,"On Time","Late")))</f>
        <v>Early</v>
      </c>
      <c r="AF105" s="14" t="n">
        <f aca="false">IF(AND(T105=1,ISNUMBER(J105),N105&lt;&gt;"Cancelled"),J105-B105,"")</f>
        <v>28</v>
      </c>
      <c r="AG105" s="14" t="n">
        <f aca="false">IF(AND(AF105&lt;&gt;"",Z105&lt;&gt;""),K105-J105,"")</f>
        <v>2</v>
      </c>
      <c r="AH105" s="14" t="n">
        <f aca="false">IF(AND(Z105&lt;&gt;"",AD105&lt;&gt;""),M105-K105,"")</f>
        <v>3</v>
      </c>
      <c r="AI105" s="14" t="n">
        <f aca="false">IF(Z105&lt;&gt;"",K105-B105,"")</f>
        <v>30</v>
      </c>
      <c r="AJ105" s="14" t="n">
        <f aca="false">IF(AND(N105="Completed",AD105&lt;&gt;""),M105-B105,"")</f>
        <v>33</v>
      </c>
      <c r="AK105" s="14" t="str">
        <f aca="false">IF(N105="Cancelled","Cancelled",IF(N105="Completed","Completed",IF(Y105=1,"Awaiting Installation",IF(ISNUMBER(J105),"In Transit","In Production"))))</f>
        <v>Completed</v>
      </c>
      <c r="AL105" s="18" t="n">
        <f aca="false">IF(AND(N105="Pending",OR(AND(Y105=0,I105&lt;AsOf),AND(Y105=1,L105&lt;AsOf))),1,0)</f>
        <v>0</v>
      </c>
      <c r="AM105" s="14" t="str">
        <f aca="false">IF(AL105=1,IF(Y105=0,AsOf-I105,AsOf-L105),"")</f>
        <v/>
      </c>
      <c r="AN105" s="14" t="str">
        <f aca="false">IF(AL105=1,IF(Y105=0,"Delivery","Installation"),"")</f>
        <v/>
      </c>
      <c r="AO105" s="14" t="n">
        <f aca="false">IF(AND(OR(fCat="All",F105=fCat),OR(fCust="All",D105=fCust),OR(fReg="All",E105=fReg)),1,0)</f>
        <v>1</v>
      </c>
      <c r="AP105" s="14" t="n">
        <f aca="false">IF(AND(AL105=1,AO105=1),AM105+ROW()/100000,0)</f>
        <v>0</v>
      </c>
    </row>
    <row r="106" customFormat="false" ht="15" hidden="false" customHeight="false" outlineLevel="0" collapsed="false">
      <c r="A106" s="14" t="s">
        <v>548</v>
      </c>
      <c r="B106" s="15" t="n">
        <v>46157</v>
      </c>
      <c r="C106" s="14" t="s">
        <v>549</v>
      </c>
      <c r="D106" s="14" t="s">
        <v>90</v>
      </c>
      <c r="E106" s="14" t="s">
        <v>102</v>
      </c>
      <c r="F106" s="14" t="s">
        <v>103</v>
      </c>
      <c r="G106" s="14" t="n">
        <v>1</v>
      </c>
      <c r="H106" s="16" t="n">
        <v>660000</v>
      </c>
      <c r="I106" s="15" t="n">
        <v>46180</v>
      </c>
      <c r="J106" s="15" t="n">
        <v>46182</v>
      </c>
      <c r="K106" s="15" t="n">
        <v>46184</v>
      </c>
      <c r="L106" s="15" t="n">
        <v>46185</v>
      </c>
      <c r="M106" s="15" t="n">
        <v>46192</v>
      </c>
      <c r="N106" s="14" t="s">
        <v>75</v>
      </c>
      <c r="O106" s="14"/>
      <c r="P106" s="14"/>
      <c r="Q106" s="14"/>
      <c r="R106" s="14"/>
      <c r="S106" s="14" t="s">
        <v>745</v>
      </c>
      <c r="T106" s="14" t="n">
        <v>1</v>
      </c>
      <c r="U106" s="14" t="n">
        <v>1</v>
      </c>
      <c r="V106" s="14" t="n">
        <v>1</v>
      </c>
      <c r="W106" s="17" t="n">
        <f aca="false">DATE(YEAR(B106),MONTH(B106),1)</f>
        <v>46143</v>
      </c>
      <c r="X106" s="14" t="n">
        <f aca="false">IF(AND(N106&lt;&gt;"Cancelled",I106&lt;=AsOf),1,0)</f>
        <v>1</v>
      </c>
      <c r="Y106" s="14" t="n">
        <f aca="false">IF(AND(N106&lt;&gt;"Cancelled",OR(ISNUMBER(K106),N106="Completed")),1,0)</f>
        <v>1</v>
      </c>
      <c r="Z106" s="14" t="n">
        <f aca="false">IF(AND(Y106=1,U106=1,ISNUMBER(K106)),K106-I106,"")</f>
        <v>4</v>
      </c>
      <c r="AA106" s="14" t="str">
        <f aca="false">IF(Z106="","",IF(Z106&lt;0,"Early",IF(Z106=0,"On Time","Late")))</f>
        <v>Late</v>
      </c>
      <c r="AB106" s="14" t="n">
        <f aca="false">IF(AND(N106&lt;&gt;"Cancelled",L106&lt;=AsOf),1,0)</f>
        <v>1</v>
      </c>
      <c r="AC106" s="14" t="n">
        <f aca="false">IF(AND(N106&lt;&gt;"Cancelled",OR(ISNUMBER(M106),N106="Completed")),1,0)</f>
        <v>1</v>
      </c>
      <c r="AD106" s="14" t="n">
        <f aca="false">IF(AND(AC106=1,V106=1,ISNUMBER(M106)),M106-L106,"")</f>
        <v>7</v>
      </c>
      <c r="AE106" s="14" t="str">
        <f aca="false">IF(AD106="","",IF(AD106&lt;0,"Early",IF(AD106=0,"On Time","Late")))</f>
        <v>Late</v>
      </c>
      <c r="AF106" s="14" t="n">
        <f aca="false">IF(AND(T106=1,ISNUMBER(J106),N106&lt;&gt;"Cancelled"),J106-B106,"")</f>
        <v>25</v>
      </c>
      <c r="AG106" s="14" t="n">
        <f aca="false">IF(AND(AF106&lt;&gt;"",Z106&lt;&gt;""),K106-J106,"")</f>
        <v>2</v>
      </c>
      <c r="AH106" s="14" t="n">
        <f aca="false">IF(AND(Z106&lt;&gt;"",AD106&lt;&gt;""),M106-K106,"")</f>
        <v>8</v>
      </c>
      <c r="AI106" s="14" t="n">
        <f aca="false">IF(Z106&lt;&gt;"",K106-B106,"")</f>
        <v>27</v>
      </c>
      <c r="AJ106" s="14" t="n">
        <f aca="false">IF(AND(N106="Completed",AD106&lt;&gt;""),M106-B106,"")</f>
        <v>35</v>
      </c>
      <c r="AK106" s="14" t="str">
        <f aca="false">IF(N106="Cancelled","Cancelled",IF(N106="Completed","Completed",IF(Y106=1,"Awaiting Installation",IF(ISNUMBER(J106),"In Transit","In Production"))))</f>
        <v>Completed</v>
      </c>
      <c r="AL106" s="18" t="n">
        <f aca="false">IF(AND(N106="Pending",OR(AND(Y106=0,I106&lt;AsOf),AND(Y106=1,L106&lt;AsOf))),1,0)</f>
        <v>0</v>
      </c>
      <c r="AM106" s="14" t="str">
        <f aca="false">IF(AL106=1,IF(Y106=0,AsOf-I106,AsOf-L106),"")</f>
        <v/>
      </c>
      <c r="AN106" s="14" t="str">
        <f aca="false">IF(AL106=1,IF(Y106=0,"Delivery","Installation"),"")</f>
        <v/>
      </c>
      <c r="AO106" s="14" t="n">
        <f aca="false">IF(AND(OR(fCat="All",F106=fCat),OR(fCust="All",D106=fCust),OR(fReg="All",E106=fReg)),1,0)</f>
        <v>1</v>
      </c>
      <c r="AP106" s="14" t="n">
        <f aca="false">IF(AND(AL106=1,AO106=1),AM106+ROW()/100000,0)</f>
        <v>0</v>
      </c>
    </row>
    <row r="107" customFormat="false" ht="15" hidden="false" customHeight="false" outlineLevel="0" collapsed="false">
      <c r="A107" s="14" t="s">
        <v>552</v>
      </c>
      <c r="B107" s="15" t="n">
        <v>46160</v>
      </c>
      <c r="C107" s="14" t="s">
        <v>553</v>
      </c>
      <c r="D107" s="14" t="s">
        <v>90</v>
      </c>
      <c r="E107" s="14" t="s">
        <v>102</v>
      </c>
      <c r="F107" s="14" t="s">
        <v>121</v>
      </c>
      <c r="G107" s="14" t="n">
        <v>1</v>
      </c>
      <c r="H107" s="16" t="n">
        <v>527000</v>
      </c>
      <c r="I107" s="15" t="n">
        <v>46192</v>
      </c>
      <c r="J107" s="15" t="n">
        <v>46194</v>
      </c>
      <c r="K107" s="15" t="n">
        <v>46196</v>
      </c>
      <c r="L107" s="15" t="n">
        <v>46197</v>
      </c>
      <c r="M107" s="15" t="n">
        <v>46201</v>
      </c>
      <c r="N107" s="14" t="s">
        <v>75</v>
      </c>
      <c r="O107" s="14" t="s">
        <v>110</v>
      </c>
      <c r="P107" s="14" t="s">
        <v>85</v>
      </c>
      <c r="Q107" s="14"/>
      <c r="R107" s="14"/>
      <c r="S107" s="14" t="s">
        <v>745</v>
      </c>
      <c r="T107" s="14" t="n">
        <v>1</v>
      </c>
      <c r="U107" s="14" t="n">
        <v>1</v>
      </c>
      <c r="V107" s="14" t="n">
        <v>1</v>
      </c>
      <c r="W107" s="17" t="n">
        <f aca="false">DATE(YEAR(B107),MONTH(B107),1)</f>
        <v>46143</v>
      </c>
      <c r="X107" s="14" t="n">
        <f aca="false">IF(AND(N107&lt;&gt;"Cancelled",I107&lt;=AsOf),1,0)</f>
        <v>1</v>
      </c>
      <c r="Y107" s="14" t="n">
        <f aca="false">IF(AND(N107&lt;&gt;"Cancelled",OR(ISNUMBER(K107),N107="Completed")),1,0)</f>
        <v>1</v>
      </c>
      <c r="Z107" s="14" t="n">
        <f aca="false">IF(AND(Y107=1,U107=1,ISNUMBER(K107)),K107-I107,"")</f>
        <v>4</v>
      </c>
      <c r="AA107" s="14" t="str">
        <f aca="false">IF(Z107="","",IF(Z107&lt;0,"Early",IF(Z107=0,"On Time","Late")))</f>
        <v>Late</v>
      </c>
      <c r="AB107" s="14" t="n">
        <f aca="false">IF(AND(N107&lt;&gt;"Cancelled",L107&lt;=AsOf),1,0)</f>
        <v>1</v>
      </c>
      <c r="AC107" s="14" t="n">
        <f aca="false">IF(AND(N107&lt;&gt;"Cancelled",OR(ISNUMBER(M107),N107="Completed")),1,0)</f>
        <v>1</v>
      </c>
      <c r="AD107" s="14" t="n">
        <f aca="false">IF(AND(AC107=1,V107=1,ISNUMBER(M107)),M107-L107,"")</f>
        <v>4</v>
      </c>
      <c r="AE107" s="14" t="str">
        <f aca="false">IF(AD107="","",IF(AD107&lt;0,"Early",IF(AD107=0,"On Time","Late")))</f>
        <v>Late</v>
      </c>
      <c r="AF107" s="14" t="n">
        <f aca="false">IF(AND(T107=1,ISNUMBER(J107),N107&lt;&gt;"Cancelled"),J107-B107,"")</f>
        <v>34</v>
      </c>
      <c r="AG107" s="14" t="n">
        <f aca="false">IF(AND(AF107&lt;&gt;"",Z107&lt;&gt;""),K107-J107,"")</f>
        <v>2</v>
      </c>
      <c r="AH107" s="14" t="n">
        <f aca="false">IF(AND(Z107&lt;&gt;"",AD107&lt;&gt;""),M107-K107,"")</f>
        <v>5</v>
      </c>
      <c r="AI107" s="14" t="n">
        <f aca="false">IF(Z107&lt;&gt;"",K107-B107,"")</f>
        <v>36</v>
      </c>
      <c r="AJ107" s="14" t="n">
        <f aca="false">IF(AND(N107="Completed",AD107&lt;&gt;""),M107-B107,"")</f>
        <v>41</v>
      </c>
      <c r="AK107" s="14" t="str">
        <f aca="false">IF(N107="Cancelled","Cancelled",IF(N107="Completed","Completed",IF(Y107=1,"Awaiting Installation",IF(ISNUMBER(J107),"In Transit","In Production"))))</f>
        <v>Completed</v>
      </c>
      <c r="AL107" s="18" t="n">
        <f aca="false">IF(AND(N107="Pending",OR(AND(Y107=0,I107&lt;AsOf),AND(Y107=1,L107&lt;AsOf))),1,0)</f>
        <v>0</v>
      </c>
      <c r="AM107" s="14" t="str">
        <f aca="false">IF(AL107=1,IF(Y107=0,AsOf-I107,AsOf-L107),"")</f>
        <v/>
      </c>
      <c r="AN107" s="14" t="str">
        <f aca="false">IF(AL107=1,IF(Y107=0,"Delivery","Installation"),"")</f>
        <v/>
      </c>
      <c r="AO107" s="14" t="n">
        <f aca="false">IF(AND(OR(fCat="All",F107=fCat),OR(fCust="All",D107=fCust),OR(fReg="All",E107=fReg)),1,0)</f>
        <v>1</v>
      </c>
      <c r="AP107" s="14" t="n">
        <f aca="false">IF(AND(AL107=1,AO107=1),AM107+ROW()/100000,0)</f>
        <v>0</v>
      </c>
    </row>
    <row r="108" customFormat="false" ht="15" hidden="false" customHeight="false" outlineLevel="0" collapsed="false">
      <c r="A108" s="14" t="s">
        <v>558</v>
      </c>
      <c r="B108" s="15" t="n">
        <v>46161</v>
      </c>
      <c r="C108" s="14" t="s">
        <v>559</v>
      </c>
      <c r="D108" s="14" t="s">
        <v>149</v>
      </c>
      <c r="E108" s="14" t="s">
        <v>102</v>
      </c>
      <c r="F108" s="14" t="s">
        <v>160</v>
      </c>
      <c r="G108" s="14" t="n">
        <v>1</v>
      </c>
      <c r="H108" s="16" t="n">
        <v>187000</v>
      </c>
      <c r="I108" s="15" t="n">
        <v>46173</v>
      </c>
      <c r="J108" s="15" t="n">
        <v>46164</v>
      </c>
      <c r="K108" s="15" t="n">
        <v>46168</v>
      </c>
      <c r="L108" s="15" t="n">
        <v>46176</v>
      </c>
      <c r="M108" s="15" t="n">
        <v>46169</v>
      </c>
      <c r="N108" s="14" t="s">
        <v>75</v>
      </c>
      <c r="O108" s="14"/>
      <c r="P108" s="14"/>
      <c r="Q108" s="14"/>
      <c r="R108" s="14"/>
      <c r="S108" s="14" t="s">
        <v>745</v>
      </c>
      <c r="T108" s="14" t="n">
        <v>1</v>
      </c>
      <c r="U108" s="14" t="n">
        <v>1</v>
      </c>
      <c r="V108" s="14" t="n">
        <v>1</v>
      </c>
      <c r="W108" s="17" t="n">
        <f aca="false">DATE(YEAR(B108),MONTH(B108),1)</f>
        <v>46143</v>
      </c>
      <c r="X108" s="14" t="n">
        <f aca="false">IF(AND(N108&lt;&gt;"Cancelled",I108&lt;=AsOf),1,0)</f>
        <v>1</v>
      </c>
      <c r="Y108" s="14" t="n">
        <f aca="false">IF(AND(N108&lt;&gt;"Cancelled",OR(ISNUMBER(K108),N108="Completed")),1,0)</f>
        <v>1</v>
      </c>
      <c r="Z108" s="14" t="n">
        <f aca="false">IF(AND(Y108=1,U108=1,ISNUMBER(K108)),K108-I108,"")</f>
        <v>-5</v>
      </c>
      <c r="AA108" s="14" t="str">
        <f aca="false">IF(Z108="","",IF(Z108&lt;0,"Early",IF(Z108=0,"On Time","Late")))</f>
        <v>Early</v>
      </c>
      <c r="AB108" s="14" t="n">
        <f aca="false">IF(AND(N108&lt;&gt;"Cancelled",L108&lt;=AsOf),1,0)</f>
        <v>1</v>
      </c>
      <c r="AC108" s="14" t="n">
        <f aca="false">IF(AND(N108&lt;&gt;"Cancelled",OR(ISNUMBER(M108),N108="Completed")),1,0)</f>
        <v>1</v>
      </c>
      <c r="AD108" s="14" t="n">
        <f aca="false">IF(AND(AC108=1,V108=1,ISNUMBER(M108)),M108-L108,"")</f>
        <v>-7</v>
      </c>
      <c r="AE108" s="14" t="str">
        <f aca="false">IF(AD108="","",IF(AD108&lt;0,"Early",IF(AD108=0,"On Time","Late")))</f>
        <v>Early</v>
      </c>
      <c r="AF108" s="14" t="n">
        <f aca="false">IF(AND(T108=1,ISNUMBER(J108),N108&lt;&gt;"Cancelled"),J108-B108,"")</f>
        <v>3</v>
      </c>
      <c r="AG108" s="14" t="n">
        <f aca="false">IF(AND(AF108&lt;&gt;"",Z108&lt;&gt;""),K108-J108,"")</f>
        <v>4</v>
      </c>
      <c r="AH108" s="14" t="n">
        <f aca="false">IF(AND(Z108&lt;&gt;"",AD108&lt;&gt;""),M108-K108,"")</f>
        <v>1</v>
      </c>
      <c r="AI108" s="14" t="n">
        <f aca="false">IF(Z108&lt;&gt;"",K108-B108,"")</f>
        <v>7</v>
      </c>
      <c r="AJ108" s="14" t="n">
        <f aca="false">IF(AND(N108="Completed",AD108&lt;&gt;""),M108-B108,"")</f>
        <v>8</v>
      </c>
      <c r="AK108" s="14" t="str">
        <f aca="false">IF(N108="Cancelled","Cancelled",IF(N108="Completed","Completed",IF(Y108=1,"Awaiting Installation",IF(ISNUMBER(J108),"In Transit","In Production"))))</f>
        <v>Completed</v>
      </c>
      <c r="AL108" s="18" t="n">
        <f aca="false">IF(AND(N108="Pending",OR(AND(Y108=0,I108&lt;AsOf),AND(Y108=1,L108&lt;AsOf))),1,0)</f>
        <v>0</v>
      </c>
      <c r="AM108" s="14" t="str">
        <f aca="false">IF(AL108=1,IF(Y108=0,AsOf-I108,AsOf-L108),"")</f>
        <v/>
      </c>
      <c r="AN108" s="14" t="str">
        <f aca="false">IF(AL108=1,IF(Y108=0,"Delivery","Installation"),"")</f>
        <v/>
      </c>
      <c r="AO108" s="14" t="n">
        <f aca="false">IF(AND(OR(fCat="All",F108=fCat),OR(fCust="All",D108=fCust),OR(fReg="All",E108=fReg)),1,0)</f>
        <v>1</v>
      </c>
      <c r="AP108" s="14" t="n">
        <f aca="false">IF(AND(AL108=1,AO108=1),AM108+ROW()/100000,0)</f>
        <v>0</v>
      </c>
    </row>
    <row r="109" customFormat="false" ht="15" hidden="false" customHeight="false" outlineLevel="0" collapsed="false">
      <c r="A109" s="14" t="s">
        <v>561</v>
      </c>
      <c r="B109" s="15" t="n">
        <v>46162</v>
      </c>
      <c r="C109" s="14" t="s">
        <v>428</v>
      </c>
      <c r="D109" s="14" t="s">
        <v>90</v>
      </c>
      <c r="E109" s="14" t="s">
        <v>91</v>
      </c>
      <c r="F109" s="14" t="s">
        <v>103</v>
      </c>
      <c r="G109" s="14" t="n">
        <v>1</v>
      </c>
      <c r="H109" s="16"/>
      <c r="I109" s="15" t="n">
        <v>46183</v>
      </c>
      <c r="J109" s="15" t="n">
        <v>46174</v>
      </c>
      <c r="K109" s="15" t="n">
        <v>46175</v>
      </c>
      <c r="L109" s="15" t="n">
        <v>46188</v>
      </c>
      <c r="M109" s="15" t="n">
        <v>46181</v>
      </c>
      <c r="N109" s="14" t="s">
        <v>75</v>
      </c>
      <c r="O109" s="14"/>
      <c r="P109" s="14"/>
      <c r="Q109" s="14"/>
      <c r="R109" s="14"/>
      <c r="S109" s="14" t="s">
        <v>751</v>
      </c>
      <c r="T109" s="14" t="n">
        <v>1</v>
      </c>
      <c r="U109" s="14" t="n">
        <v>1</v>
      </c>
      <c r="V109" s="14" t="n">
        <v>1</v>
      </c>
      <c r="W109" s="17" t="n">
        <f aca="false">DATE(YEAR(B109),MONTH(B109),1)</f>
        <v>46143</v>
      </c>
      <c r="X109" s="14" t="n">
        <f aca="false">IF(AND(N109&lt;&gt;"Cancelled",I109&lt;=AsOf),1,0)</f>
        <v>1</v>
      </c>
      <c r="Y109" s="14" t="n">
        <f aca="false">IF(AND(N109&lt;&gt;"Cancelled",OR(ISNUMBER(K109),N109="Completed")),1,0)</f>
        <v>1</v>
      </c>
      <c r="Z109" s="14" t="n">
        <f aca="false">IF(AND(Y109=1,U109=1,ISNUMBER(K109)),K109-I109,"")</f>
        <v>-8</v>
      </c>
      <c r="AA109" s="14" t="str">
        <f aca="false">IF(Z109="","",IF(Z109&lt;0,"Early",IF(Z109=0,"On Time","Late")))</f>
        <v>Early</v>
      </c>
      <c r="AB109" s="14" t="n">
        <f aca="false">IF(AND(N109&lt;&gt;"Cancelled",L109&lt;=AsOf),1,0)</f>
        <v>1</v>
      </c>
      <c r="AC109" s="14" t="n">
        <f aca="false">IF(AND(N109&lt;&gt;"Cancelled",OR(ISNUMBER(M109),N109="Completed")),1,0)</f>
        <v>1</v>
      </c>
      <c r="AD109" s="14" t="n">
        <f aca="false">IF(AND(AC109=1,V109=1,ISNUMBER(M109)),M109-L109,"")</f>
        <v>-7</v>
      </c>
      <c r="AE109" s="14" t="str">
        <f aca="false">IF(AD109="","",IF(AD109&lt;0,"Early",IF(AD109=0,"On Time","Late")))</f>
        <v>Early</v>
      </c>
      <c r="AF109" s="14" t="n">
        <f aca="false">IF(AND(T109=1,ISNUMBER(J109),N109&lt;&gt;"Cancelled"),J109-B109,"")</f>
        <v>12</v>
      </c>
      <c r="AG109" s="14" t="n">
        <f aca="false">IF(AND(AF109&lt;&gt;"",Z109&lt;&gt;""),K109-J109,"")</f>
        <v>1</v>
      </c>
      <c r="AH109" s="14" t="n">
        <f aca="false">IF(AND(Z109&lt;&gt;"",AD109&lt;&gt;""),M109-K109,"")</f>
        <v>6</v>
      </c>
      <c r="AI109" s="14" t="n">
        <f aca="false">IF(Z109&lt;&gt;"",K109-B109,"")</f>
        <v>13</v>
      </c>
      <c r="AJ109" s="14" t="n">
        <f aca="false">IF(AND(N109="Completed",AD109&lt;&gt;""),M109-B109,"")</f>
        <v>19</v>
      </c>
      <c r="AK109" s="14" t="str">
        <f aca="false">IF(N109="Cancelled","Cancelled",IF(N109="Completed","Completed",IF(Y109=1,"Awaiting Installation",IF(ISNUMBER(J109),"In Transit","In Production"))))</f>
        <v>Completed</v>
      </c>
      <c r="AL109" s="18" t="n">
        <f aca="false">IF(AND(N109="Pending",OR(AND(Y109=0,I109&lt;AsOf),AND(Y109=1,L109&lt;AsOf))),1,0)</f>
        <v>0</v>
      </c>
      <c r="AM109" s="14" t="str">
        <f aca="false">IF(AL109=1,IF(Y109=0,AsOf-I109,AsOf-L109),"")</f>
        <v/>
      </c>
      <c r="AN109" s="14" t="str">
        <f aca="false">IF(AL109=1,IF(Y109=0,"Delivery","Installation"),"")</f>
        <v/>
      </c>
      <c r="AO109" s="14" t="n">
        <f aca="false">IF(AND(OR(fCat="All",F109=fCat),OR(fCust="All",D109=fCust),OR(fReg="All",E109=fReg)),1,0)</f>
        <v>1</v>
      </c>
      <c r="AP109" s="14" t="n">
        <f aca="false">IF(AND(AL109=1,AO109=1),AM109+ROW()/100000,0)</f>
        <v>0</v>
      </c>
    </row>
    <row r="110" customFormat="false" ht="15" hidden="false" customHeight="false" outlineLevel="0" collapsed="false">
      <c r="A110" s="14" t="s">
        <v>753</v>
      </c>
      <c r="B110" s="15" t="n">
        <v>46162</v>
      </c>
      <c r="C110" s="14" t="s">
        <v>388</v>
      </c>
      <c r="D110" s="14" t="s">
        <v>65</v>
      </c>
      <c r="E110" s="14" t="s">
        <v>66</v>
      </c>
      <c r="F110" s="14" t="s">
        <v>121</v>
      </c>
      <c r="G110" s="14" t="n">
        <v>1</v>
      </c>
      <c r="H110" s="16" t="n">
        <v>1229000</v>
      </c>
      <c r="I110" s="15" t="n">
        <v>46196</v>
      </c>
      <c r="J110" s="15" t="n">
        <v>46178</v>
      </c>
      <c r="K110" s="15" t="n">
        <v>46182</v>
      </c>
      <c r="L110" s="15" t="n">
        <v>46201</v>
      </c>
      <c r="M110" s="15" t="n">
        <v>46191</v>
      </c>
      <c r="N110" s="14" t="s">
        <v>75</v>
      </c>
      <c r="O110" s="14"/>
      <c r="P110" s="14"/>
      <c r="Q110" s="14"/>
      <c r="R110" s="14" t="s">
        <v>226</v>
      </c>
      <c r="S110" s="14" t="s">
        <v>745</v>
      </c>
      <c r="T110" s="14" t="n">
        <v>1</v>
      </c>
      <c r="U110" s="14" t="n">
        <v>1</v>
      </c>
      <c r="V110" s="14" t="n">
        <v>1</v>
      </c>
      <c r="W110" s="17" t="n">
        <f aca="false">DATE(YEAR(B110),MONTH(B110),1)</f>
        <v>46143</v>
      </c>
      <c r="X110" s="14" t="n">
        <f aca="false">IF(AND(N110&lt;&gt;"Cancelled",I110&lt;=AsOf),1,0)</f>
        <v>1</v>
      </c>
      <c r="Y110" s="14" t="n">
        <f aca="false">IF(AND(N110&lt;&gt;"Cancelled",OR(ISNUMBER(K110),N110="Completed")),1,0)</f>
        <v>1</v>
      </c>
      <c r="Z110" s="14" t="n">
        <f aca="false">IF(AND(Y110=1,U110=1,ISNUMBER(K110)),K110-I110,"")</f>
        <v>-14</v>
      </c>
      <c r="AA110" s="14" t="str">
        <f aca="false">IF(Z110="","",IF(Z110&lt;0,"Early",IF(Z110=0,"On Time","Late")))</f>
        <v>Early</v>
      </c>
      <c r="AB110" s="14" t="n">
        <f aca="false">IF(AND(N110&lt;&gt;"Cancelled",L110&lt;=AsOf),1,0)</f>
        <v>1</v>
      </c>
      <c r="AC110" s="14" t="n">
        <f aca="false">IF(AND(N110&lt;&gt;"Cancelled",OR(ISNUMBER(M110),N110="Completed")),1,0)</f>
        <v>1</v>
      </c>
      <c r="AD110" s="14" t="n">
        <f aca="false">IF(AND(AC110=1,V110=1,ISNUMBER(M110)),M110-L110,"")</f>
        <v>-10</v>
      </c>
      <c r="AE110" s="14" t="str">
        <f aca="false">IF(AD110="","",IF(AD110&lt;0,"Early",IF(AD110=0,"On Time","Late")))</f>
        <v>Early</v>
      </c>
      <c r="AF110" s="14" t="n">
        <f aca="false">IF(AND(T110=1,ISNUMBER(J110),N110&lt;&gt;"Cancelled"),J110-B110,"")</f>
        <v>16</v>
      </c>
      <c r="AG110" s="14" t="n">
        <f aca="false">IF(AND(AF110&lt;&gt;"",Z110&lt;&gt;""),K110-J110,"")</f>
        <v>4</v>
      </c>
      <c r="AH110" s="14" t="n">
        <f aca="false">IF(AND(Z110&lt;&gt;"",AD110&lt;&gt;""),M110-K110,"")</f>
        <v>9</v>
      </c>
      <c r="AI110" s="14" t="n">
        <f aca="false">IF(Z110&lt;&gt;"",K110-B110,"")</f>
        <v>20</v>
      </c>
      <c r="AJ110" s="14" t="n">
        <f aca="false">IF(AND(N110="Completed",AD110&lt;&gt;""),M110-B110,"")</f>
        <v>29</v>
      </c>
      <c r="AK110" s="14" t="str">
        <f aca="false">IF(N110="Cancelled","Cancelled",IF(N110="Completed","Completed",IF(Y110=1,"Awaiting Installation",IF(ISNUMBER(J110),"In Transit","In Production"))))</f>
        <v>Completed</v>
      </c>
      <c r="AL110" s="18" t="n">
        <f aca="false">IF(AND(N110="Pending",OR(AND(Y110=0,I110&lt;AsOf),AND(Y110=1,L110&lt;AsOf))),1,0)</f>
        <v>0</v>
      </c>
      <c r="AM110" s="14" t="str">
        <f aca="false">IF(AL110=1,IF(Y110=0,AsOf-I110,AsOf-L110),"")</f>
        <v/>
      </c>
      <c r="AN110" s="14" t="str">
        <f aca="false">IF(AL110=1,IF(Y110=0,"Delivery","Installation"),"")</f>
        <v/>
      </c>
      <c r="AO110" s="14" t="n">
        <f aca="false">IF(AND(OR(fCat="All",F110=fCat),OR(fCust="All",D110=fCust),OR(fReg="All",E110=fReg)),1,0)</f>
        <v>1</v>
      </c>
      <c r="AP110" s="14" t="n">
        <f aca="false">IF(AND(AL110=1,AO110=1),AM110+ROW()/100000,0)</f>
        <v>0</v>
      </c>
    </row>
    <row r="111" customFormat="false" ht="15" hidden="false" customHeight="false" outlineLevel="0" collapsed="false">
      <c r="A111" s="14" t="s">
        <v>564</v>
      </c>
      <c r="B111" s="15" t="n">
        <v>46162</v>
      </c>
      <c r="C111" s="14" t="s">
        <v>405</v>
      </c>
      <c r="D111" s="14" t="s">
        <v>149</v>
      </c>
      <c r="E111" s="14" t="s">
        <v>102</v>
      </c>
      <c r="F111" s="14" t="s">
        <v>150</v>
      </c>
      <c r="G111" s="14" t="n">
        <v>1</v>
      </c>
      <c r="H111" s="16" t="n">
        <v>583000</v>
      </c>
      <c r="I111" s="15" t="n">
        <v>46178</v>
      </c>
      <c r="J111" s="15" t="n">
        <v>46166</v>
      </c>
      <c r="K111" s="15" t="n">
        <v>46168</v>
      </c>
      <c r="L111" s="15" t="n">
        <v>46181</v>
      </c>
      <c r="M111" s="15" t="n">
        <v>46183</v>
      </c>
      <c r="N111" s="14" t="s">
        <v>75</v>
      </c>
      <c r="O111" s="14"/>
      <c r="P111" s="14" t="s">
        <v>183</v>
      </c>
      <c r="Q111" s="14"/>
      <c r="R111" s="14" t="s">
        <v>168</v>
      </c>
      <c r="S111" s="14" t="s">
        <v>745</v>
      </c>
      <c r="T111" s="14" t="n">
        <v>1</v>
      </c>
      <c r="U111" s="14" t="n">
        <v>1</v>
      </c>
      <c r="V111" s="14" t="n">
        <v>1</v>
      </c>
      <c r="W111" s="17" t="n">
        <f aca="false">DATE(YEAR(B111),MONTH(B111),1)</f>
        <v>46143</v>
      </c>
      <c r="X111" s="14" t="n">
        <f aca="false">IF(AND(N111&lt;&gt;"Cancelled",I111&lt;=AsOf),1,0)</f>
        <v>1</v>
      </c>
      <c r="Y111" s="14" t="n">
        <f aca="false">IF(AND(N111&lt;&gt;"Cancelled",OR(ISNUMBER(K111),N111="Completed")),1,0)</f>
        <v>1</v>
      </c>
      <c r="Z111" s="14" t="n">
        <f aca="false">IF(AND(Y111=1,U111=1,ISNUMBER(K111)),K111-I111,"")</f>
        <v>-10</v>
      </c>
      <c r="AA111" s="14" t="str">
        <f aca="false">IF(Z111="","",IF(Z111&lt;0,"Early",IF(Z111=0,"On Time","Late")))</f>
        <v>Early</v>
      </c>
      <c r="AB111" s="14" t="n">
        <f aca="false">IF(AND(N111&lt;&gt;"Cancelled",L111&lt;=AsOf),1,0)</f>
        <v>1</v>
      </c>
      <c r="AC111" s="14" t="n">
        <f aca="false">IF(AND(N111&lt;&gt;"Cancelled",OR(ISNUMBER(M111),N111="Completed")),1,0)</f>
        <v>1</v>
      </c>
      <c r="AD111" s="14" t="n">
        <f aca="false">IF(AND(AC111=1,V111=1,ISNUMBER(M111)),M111-L111,"")</f>
        <v>2</v>
      </c>
      <c r="AE111" s="14" t="str">
        <f aca="false">IF(AD111="","",IF(AD111&lt;0,"Early",IF(AD111=0,"On Time","Late")))</f>
        <v>Late</v>
      </c>
      <c r="AF111" s="14" t="n">
        <f aca="false">IF(AND(T111=1,ISNUMBER(J111),N111&lt;&gt;"Cancelled"),J111-B111,"")</f>
        <v>4</v>
      </c>
      <c r="AG111" s="14" t="n">
        <f aca="false">IF(AND(AF111&lt;&gt;"",Z111&lt;&gt;""),K111-J111,"")</f>
        <v>2</v>
      </c>
      <c r="AH111" s="14" t="n">
        <f aca="false">IF(AND(Z111&lt;&gt;"",AD111&lt;&gt;""),M111-K111,"")</f>
        <v>15</v>
      </c>
      <c r="AI111" s="14" t="n">
        <f aca="false">IF(Z111&lt;&gt;"",K111-B111,"")</f>
        <v>6</v>
      </c>
      <c r="AJ111" s="14" t="n">
        <f aca="false">IF(AND(N111="Completed",AD111&lt;&gt;""),M111-B111,"")</f>
        <v>21</v>
      </c>
      <c r="AK111" s="14" t="str">
        <f aca="false">IF(N111="Cancelled","Cancelled",IF(N111="Completed","Completed",IF(Y111=1,"Awaiting Installation",IF(ISNUMBER(J111),"In Transit","In Production"))))</f>
        <v>Completed</v>
      </c>
      <c r="AL111" s="18" t="n">
        <f aca="false">IF(AND(N111="Pending",OR(AND(Y111=0,I111&lt;AsOf),AND(Y111=1,L111&lt;AsOf))),1,0)</f>
        <v>0</v>
      </c>
      <c r="AM111" s="14" t="str">
        <f aca="false">IF(AL111=1,IF(Y111=0,AsOf-I111,AsOf-L111),"")</f>
        <v/>
      </c>
      <c r="AN111" s="14" t="str">
        <f aca="false">IF(AL111=1,IF(Y111=0,"Delivery","Installation"),"")</f>
        <v/>
      </c>
      <c r="AO111" s="14" t="n">
        <f aca="false">IF(AND(OR(fCat="All",F111=fCat),OR(fCust="All",D111=fCust),OR(fReg="All",E111=fReg)),1,0)</f>
        <v>1</v>
      </c>
      <c r="AP111" s="14" t="n">
        <f aca="false">IF(AND(AL111=1,AO111=1),AM111+ROW()/100000,0)</f>
        <v>0</v>
      </c>
    </row>
    <row r="112" customFormat="false" ht="15" hidden="false" customHeight="false" outlineLevel="0" collapsed="false">
      <c r="A112" s="14" t="s">
        <v>566</v>
      </c>
      <c r="B112" s="15" t="n">
        <v>46164</v>
      </c>
      <c r="C112" s="14" t="s">
        <v>101</v>
      </c>
      <c r="D112" s="14" t="s">
        <v>65</v>
      </c>
      <c r="E112" s="14" t="s">
        <v>102</v>
      </c>
      <c r="F112" s="14" t="s">
        <v>121</v>
      </c>
      <c r="G112" s="14" t="n">
        <v>1</v>
      </c>
      <c r="H112" s="16" t="n">
        <v>819000</v>
      </c>
      <c r="I112" s="15" t="n">
        <v>46196</v>
      </c>
      <c r="J112" s="15" t="n">
        <v>46184</v>
      </c>
      <c r="K112" s="15" t="n">
        <v>46187</v>
      </c>
      <c r="L112" s="15" t="n">
        <v>46201</v>
      </c>
      <c r="M112" s="15" t="n">
        <v>46203</v>
      </c>
      <c r="N112" s="14" t="s">
        <v>75</v>
      </c>
      <c r="O112" s="14"/>
      <c r="P112" s="14" t="s">
        <v>183</v>
      </c>
      <c r="Q112" s="14"/>
      <c r="R112" s="14" t="s">
        <v>98</v>
      </c>
      <c r="S112" s="14" t="s">
        <v>745</v>
      </c>
      <c r="T112" s="14" t="n">
        <v>1</v>
      </c>
      <c r="U112" s="14" t="n">
        <v>1</v>
      </c>
      <c r="V112" s="14" t="n">
        <v>1</v>
      </c>
      <c r="W112" s="17" t="n">
        <f aca="false">DATE(YEAR(B112),MONTH(B112),1)</f>
        <v>46143</v>
      </c>
      <c r="X112" s="14" t="n">
        <f aca="false">IF(AND(N112&lt;&gt;"Cancelled",I112&lt;=AsOf),1,0)</f>
        <v>1</v>
      </c>
      <c r="Y112" s="14" t="n">
        <f aca="false">IF(AND(N112&lt;&gt;"Cancelled",OR(ISNUMBER(K112),N112="Completed")),1,0)</f>
        <v>1</v>
      </c>
      <c r="Z112" s="14" t="n">
        <f aca="false">IF(AND(Y112=1,U112=1,ISNUMBER(K112)),K112-I112,"")</f>
        <v>-9</v>
      </c>
      <c r="AA112" s="14" t="str">
        <f aca="false">IF(Z112="","",IF(Z112&lt;0,"Early",IF(Z112=0,"On Time","Late")))</f>
        <v>Early</v>
      </c>
      <c r="AB112" s="14" t="n">
        <f aca="false">IF(AND(N112&lt;&gt;"Cancelled",L112&lt;=AsOf),1,0)</f>
        <v>1</v>
      </c>
      <c r="AC112" s="14" t="n">
        <f aca="false">IF(AND(N112&lt;&gt;"Cancelled",OR(ISNUMBER(M112),N112="Completed")),1,0)</f>
        <v>1</v>
      </c>
      <c r="AD112" s="14" t="n">
        <f aca="false">IF(AND(AC112=1,V112=1,ISNUMBER(M112)),M112-L112,"")</f>
        <v>2</v>
      </c>
      <c r="AE112" s="14" t="str">
        <f aca="false">IF(AD112="","",IF(AD112&lt;0,"Early",IF(AD112=0,"On Time","Late")))</f>
        <v>Late</v>
      </c>
      <c r="AF112" s="14" t="n">
        <f aca="false">IF(AND(T112=1,ISNUMBER(J112),N112&lt;&gt;"Cancelled"),J112-B112,"")</f>
        <v>20</v>
      </c>
      <c r="AG112" s="14" t="n">
        <f aca="false">IF(AND(AF112&lt;&gt;"",Z112&lt;&gt;""),K112-J112,"")</f>
        <v>3</v>
      </c>
      <c r="AH112" s="14" t="n">
        <f aca="false">IF(AND(Z112&lt;&gt;"",AD112&lt;&gt;""),M112-K112,"")</f>
        <v>16</v>
      </c>
      <c r="AI112" s="14" t="n">
        <f aca="false">IF(Z112&lt;&gt;"",K112-B112,"")</f>
        <v>23</v>
      </c>
      <c r="AJ112" s="14" t="n">
        <f aca="false">IF(AND(N112="Completed",AD112&lt;&gt;""),M112-B112,"")</f>
        <v>39</v>
      </c>
      <c r="AK112" s="14" t="str">
        <f aca="false">IF(N112="Cancelled","Cancelled",IF(N112="Completed","Completed",IF(Y112=1,"Awaiting Installation",IF(ISNUMBER(J112),"In Transit","In Production"))))</f>
        <v>Completed</v>
      </c>
      <c r="AL112" s="18" t="n">
        <f aca="false">IF(AND(N112="Pending",OR(AND(Y112=0,I112&lt;AsOf),AND(Y112=1,L112&lt;AsOf))),1,0)</f>
        <v>0</v>
      </c>
      <c r="AM112" s="14" t="str">
        <f aca="false">IF(AL112=1,IF(Y112=0,AsOf-I112,AsOf-L112),"")</f>
        <v/>
      </c>
      <c r="AN112" s="14" t="str">
        <f aca="false">IF(AL112=1,IF(Y112=0,"Delivery","Installation"),"")</f>
        <v/>
      </c>
      <c r="AO112" s="14" t="n">
        <f aca="false">IF(AND(OR(fCat="All",F112=fCat),OR(fCust="All",D112=fCust),OR(fReg="All",E112=fReg)),1,0)</f>
        <v>1</v>
      </c>
      <c r="AP112" s="14" t="n">
        <f aca="false">IF(AND(AL112=1,AO112=1),AM112+ROW()/100000,0)</f>
        <v>0</v>
      </c>
    </row>
    <row r="113" customFormat="false" ht="15" hidden="false" customHeight="false" outlineLevel="0" collapsed="false">
      <c r="A113" s="14" t="s">
        <v>569</v>
      </c>
      <c r="B113" s="15" t="n">
        <v>46165</v>
      </c>
      <c r="C113" s="14" t="s">
        <v>212</v>
      </c>
      <c r="D113" s="14" t="s">
        <v>65</v>
      </c>
      <c r="E113" s="14" t="s">
        <v>66</v>
      </c>
      <c r="F113" s="14" t="s">
        <v>67</v>
      </c>
      <c r="G113" s="14" t="n">
        <v>2</v>
      </c>
      <c r="H113" s="16" t="n">
        <v>878000</v>
      </c>
      <c r="I113" s="15" t="n">
        <v>46187</v>
      </c>
      <c r="J113" s="15" t="n">
        <v>46176</v>
      </c>
      <c r="K113" s="15" t="n">
        <v>46185</v>
      </c>
      <c r="L113" s="15" t="n">
        <v>46192</v>
      </c>
      <c r="M113" s="15" t="n">
        <v>46188</v>
      </c>
      <c r="N113" s="14" t="s">
        <v>75</v>
      </c>
      <c r="O113" s="14"/>
      <c r="P113" s="14"/>
      <c r="Q113" s="14"/>
      <c r="R113" s="14"/>
      <c r="S113" s="14" t="s">
        <v>745</v>
      </c>
      <c r="T113" s="14" t="n">
        <v>1</v>
      </c>
      <c r="U113" s="14" t="n">
        <v>1</v>
      </c>
      <c r="V113" s="14" t="n">
        <v>1</v>
      </c>
      <c r="W113" s="17" t="n">
        <f aca="false">DATE(YEAR(B113),MONTH(B113),1)</f>
        <v>46143</v>
      </c>
      <c r="X113" s="14" t="n">
        <f aca="false">IF(AND(N113&lt;&gt;"Cancelled",I113&lt;=AsOf),1,0)</f>
        <v>1</v>
      </c>
      <c r="Y113" s="14" t="n">
        <f aca="false">IF(AND(N113&lt;&gt;"Cancelled",OR(ISNUMBER(K113),N113="Completed")),1,0)</f>
        <v>1</v>
      </c>
      <c r="Z113" s="14" t="n">
        <f aca="false">IF(AND(Y113=1,U113=1,ISNUMBER(K113)),K113-I113,"")</f>
        <v>-2</v>
      </c>
      <c r="AA113" s="14" t="str">
        <f aca="false">IF(Z113="","",IF(Z113&lt;0,"Early",IF(Z113=0,"On Time","Late")))</f>
        <v>Early</v>
      </c>
      <c r="AB113" s="14" t="n">
        <f aca="false">IF(AND(N113&lt;&gt;"Cancelled",L113&lt;=AsOf),1,0)</f>
        <v>1</v>
      </c>
      <c r="AC113" s="14" t="n">
        <f aca="false">IF(AND(N113&lt;&gt;"Cancelled",OR(ISNUMBER(M113),N113="Completed")),1,0)</f>
        <v>1</v>
      </c>
      <c r="AD113" s="14" t="n">
        <f aca="false">IF(AND(AC113=1,V113=1,ISNUMBER(M113)),M113-L113,"")</f>
        <v>-4</v>
      </c>
      <c r="AE113" s="14" t="str">
        <f aca="false">IF(AD113="","",IF(AD113&lt;0,"Early",IF(AD113=0,"On Time","Late")))</f>
        <v>Early</v>
      </c>
      <c r="AF113" s="14" t="n">
        <f aca="false">IF(AND(T113=1,ISNUMBER(J113),N113&lt;&gt;"Cancelled"),J113-B113,"")</f>
        <v>11</v>
      </c>
      <c r="AG113" s="14" t="n">
        <f aca="false">IF(AND(AF113&lt;&gt;"",Z113&lt;&gt;""),K113-J113,"")</f>
        <v>9</v>
      </c>
      <c r="AH113" s="14" t="n">
        <f aca="false">IF(AND(Z113&lt;&gt;"",AD113&lt;&gt;""),M113-K113,"")</f>
        <v>3</v>
      </c>
      <c r="AI113" s="14" t="n">
        <f aca="false">IF(Z113&lt;&gt;"",K113-B113,"")</f>
        <v>20</v>
      </c>
      <c r="AJ113" s="14" t="n">
        <f aca="false">IF(AND(N113="Completed",AD113&lt;&gt;""),M113-B113,"")</f>
        <v>23</v>
      </c>
      <c r="AK113" s="14" t="str">
        <f aca="false">IF(N113="Cancelled","Cancelled",IF(N113="Completed","Completed",IF(Y113=1,"Awaiting Installation",IF(ISNUMBER(J113),"In Transit","In Production"))))</f>
        <v>Completed</v>
      </c>
      <c r="AL113" s="18" t="n">
        <f aca="false">IF(AND(N113="Pending",OR(AND(Y113=0,I113&lt;AsOf),AND(Y113=1,L113&lt;AsOf))),1,0)</f>
        <v>0</v>
      </c>
      <c r="AM113" s="14" t="str">
        <f aca="false">IF(AL113=1,IF(Y113=0,AsOf-I113,AsOf-L113),"")</f>
        <v/>
      </c>
      <c r="AN113" s="14" t="str">
        <f aca="false">IF(AL113=1,IF(Y113=0,"Delivery","Installation"),"")</f>
        <v/>
      </c>
      <c r="AO113" s="14" t="n">
        <f aca="false">IF(AND(OR(fCat="All",F113=fCat),OR(fCust="All",D113=fCust),OR(fReg="All",E113=fReg)),1,0)</f>
        <v>1</v>
      </c>
      <c r="AP113" s="14" t="n">
        <f aca="false">IF(AND(AL113=1,AO113=1),AM113+ROW()/100000,0)</f>
        <v>0</v>
      </c>
    </row>
    <row r="114" customFormat="false" ht="15" hidden="false" customHeight="false" outlineLevel="0" collapsed="false">
      <c r="A114" s="14" t="s">
        <v>571</v>
      </c>
      <c r="B114" s="15" t="n">
        <v>46165</v>
      </c>
      <c r="C114" s="14" t="s">
        <v>572</v>
      </c>
      <c r="D114" s="14" t="s">
        <v>149</v>
      </c>
      <c r="E114" s="14" t="s">
        <v>66</v>
      </c>
      <c r="F114" s="14" t="s">
        <v>160</v>
      </c>
      <c r="G114" s="14" t="n">
        <v>1</v>
      </c>
      <c r="H114" s="16" t="n">
        <v>213000</v>
      </c>
      <c r="I114" s="15" t="n">
        <v>46179</v>
      </c>
      <c r="J114" s="15" t="n">
        <v>46173</v>
      </c>
      <c r="K114" s="15" t="n">
        <v>46182</v>
      </c>
      <c r="L114" s="15" t="n">
        <v>46182</v>
      </c>
      <c r="M114" s="15" t="n">
        <v>46185</v>
      </c>
      <c r="N114" s="14" t="s">
        <v>75</v>
      </c>
      <c r="O114" s="14"/>
      <c r="P114" s="14"/>
      <c r="Q114" s="14"/>
      <c r="R114" s="14" t="s">
        <v>98</v>
      </c>
      <c r="S114" s="14" t="s">
        <v>745</v>
      </c>
      <c r="T114" s="14" t="n">
        <v>1</v>
      </c>
      <c r="U114" s="14" t="n">
        <v>1</v>
      </c>
      <c r="V114" s="14" t="n">
        <v>1</v>
      </c>
      <c r="W114" s="17" t="n">
        <f aca="false">DATE(YEAR(B114),MONTH(B114),1)</f>
        <v>46143</v>
      </c>
      <c r="X114" s="14" t="n">
        <f aca="false">IF(AND(N114&lt;&gt;"Cancelled",I114&lt;=AsOf),1,0)</f>
        <v>1</v>
      </c>
      <c r="Y114" s="14" t="n">
        <f aca="false">IF(AND(N114&lt;&gt;"Cancelled",OR(ISNUMBER(K114),N114="Completed")),1,0)</f>
        <v>1</v>
      </c>
      <c r="Z114" s="14" t="n">
        <f aca="false">IF(AND(Y114=1,U114=1,ISNUMBER(K114)),K114-I114,"")</f>
        <v>3</v>
      </c>
      <c r="AA114" s="14" t="str">
        <f aca="false">IF(Z114="","",IF(Z114&lt;0,"Early",IF(Z114=0,"On Time","Late")))</f>
        <v>Late</v>
      </c>
      <c r="AB114" s="14" t="n">
        <f aca="false">IF(AND(N114&lt;&gt;"Cancelled",L114&lt;=AsOf),1,0)</f>
        <v>1</v>
      </c>
      <c r="AC114" s="14" t="n">
        <f aca="false">IF(AND(N114&lt;&gt;"Cancelled",OR(ISNUMBER(M114),N114="Completed")),1,0)</f>
        <v>1</v>
      </c>
      <c r="AD114" s="14" t="n">
        <f aca="false">IF(AND(AC114=1,V114=1,ISNUMBER(M114)),M114-L114,"")</f>
        <v>3</v>
      </c>
      <c r="AE114" s="14" t="str">
        <f aca="false">IF(AD114="","",IF(AD114&lt;0,"Early",IF(AD114=0,"On Time","Late")))</f>
        <v>Late</v>
      </c>
      <c r="AF114" s="14" t="n">
        <f aca="false">IF(AND(T114=1,ISNUMBER(J114),N114&lt;&gt;"Cancelled"),J114-B114,"")</f>
        <v>8</v>
      </c>
      <c r="AG114" s="14" t="n">
        <f aca="false">IF(AND(AF114&lt;&gt;"",Z114&lt;&gt;""),K114-J114,"")</f>
        <v>9</v>
      </c>
      <c r="AH114" s="14" t="n">
        <f aca="false">IF(AND(Z114&lt;&gt;"",AD114&lt;&gt;""),M114-K114,"")</f>
        <v>3</v>
      </c>
      <c r="AI114" s="14" t="n">
        <f aca="false">IF(Z114&lt;&gt;"",K114-B114,"")</f>
        <v>17</v>
      </c>
      <c r="AJ114" s="14" t="n">
        <f aca="false">IF(AND(N114="Completed",AD114&lt;&gt;""),M114-B114,"")</f>
        <v>20</v>
      </c>
      <c r="AK114" s="14" t="str">
        <f aca="false">IF(N114="Cancelled","Cancelled",IF(N114="Completed","Completed",IF(Y114=1,"Awaiting Installation",IF(ISNUMBER(J114),"In Transit","In Production"))))</f>
        <v>Completed</v>
      </c>
      <c r="AL114" s="18" t="n">
        <f aca="false">IF(AND(N114="Pending",OR(AND(Y114=0,I114&lt;AsOf),AND(Y114=1,L114&lt;AsOf))),1,0)</f>
        <v>0</v>
      </c>
      <c r="AM114" s="14" t="str">
        <f aca="false">IF(AL114=1,IF(Y114=0,AsOf-I114,AsOf-L114),"")</f>
        <v/>
      </c>
      <c r="AN114" s="14" t="str">
        <f aca="false">IF(AL114=1,IF(Y114=0,"Delivery","Installation"),"")</f>
        <v/>
      </c>
      <c r="AO114" s="14" t="n">
        <f aca="false">IF(AND(OR(fCat="All",F114=fCat),OR(fCust="All",D114=fCust),OR(fReg="All",E114=fReg)),1,0)</f>
        <v>1</v>
      </c>
      <c r="AP114" s="14" t="n">
        <f aca="false">IF(AND(AL114=1,AO114=1),AM114+ROW()/100000,0)</f>
        <v>0</v>
      </c>
    </row>
    <row r="115" customFormat="false" ht="15" hidden="false" customHeight="false" outlineLevel="0" collapsed="false">
      <c r="A115" s="14" t="s">
        <v>573</v>
      </c>
      <c r="B115" s="15" t="n">
        <v>46165</v>
      </c>
      <c r="C115" s="14" t="s">
        <v>574</v>
      </c>
      <c r="D115" s="14" t="s">
        <v>149</v>
      </c>
      <c r="E115" s="14" t="s">
        <v>91</v>
      </c>
      <c r="F115" s="14" t="s">
        <v>150</v>
      </c>
      <c r="G115" s="14" t="n">
        <v>1</v>
      </c>
      <c r="H115" s="16" t="n">
        <v>505000</v>
      </c>
      <c r="I115" s="15" t="n">
        <v>46179</v>
      </c>
      <c r="J115" s="15" t="n">
        <v>46169</v>
      </c>
      <c r="K115" s="15" t="n">
        <v>46170</v>
      </c>
      <c r="L115" s="15" t="n">
        <v>46182</v>
      </c>
      <c r="M115" s="15" t="n">
        <v>46173</v>
      </c>
      <c r="N115" s="14" t="s">
        <v>75</v>
      </c>
      <c r="O115" s="14"/>
      <c r="P115" s="14"/>
      <c r="Q115" s="14"/>
      <c r="R115" s="14" t="s">
        <v>86</v>
      </c>
      <c r="S115" s="14" t="s">
        <v>745</v>
      </c>
      <c r="T115" s="14" t="n">
        <v>1</v>
      </c>
      <c r="U115" s="14" t="n">
        <v>1</v>
      </c>
      <c r="V115" s="14" t="n">
        <v>1</v>
      </c>
      <c r="W115" s="17" t="n">
        <f aca="false">DATE(YEAR(B115),MONTH(B115),1)</f>
        <v>46143</v>
      </c>
      <c r="X115" s="14" t="n">
        <f aca="false">IF(AND(N115&lt;&gt;"Cancelled",I115&lt;=AsOf),1,0)</f>
        <v>1</v>
      </c>
      <c r="Y115" s="14" t="n">
        <f aca="false">IF(AND(N115&lt;&gt;"Cancelled",OR(ISNUMBER(K115),N115="Completed")),1,0)</f>
        <v>1</v>
      </c>
      <c r="Z115" s="14" t="n">
        <f aca="false">IF(AND(Y115=1,U115=1,ISNUMBER(K115)),K115-I115,"")</f>
        <v>-9</v>
      </c>
      <c r="AA115" s="14" t="str">
        <f aca="false">IF(Z115="","",IF(Z115&lt;0,"Early",IF(Z115=0,"On Time","Late")))</f>
        <v>Early</v>
      </c>
      <c r="AB115" s="14" t="n">
        <f aca="false">IF(AND(N115&lt;&gt;"Cancelled",L115&lt;=AsOf),1,0)</f>
        <v>1</v>
      </c>
      <c r="AC115" s="14" t="n">
        <f aca="false">IF(AND(N115&lt;&gt;"Cancelled",OR(ISNUMBER(M115),N115="Completed")),1,0)</f>
        <v>1</v>
      </c>
      <c r="AD115" s="14" t="n">
        <f aca="false">IF(AND(AC115=1,V115=1,ISNUMBER(M115)),M115-L115,"")</f>
        <v>-9</v>
      </c>
      <c r="AE115" s="14" t="str">
        <f aca="false">IF(AD115="","",IF(AD115&lt;0,"Early",IF(AD115=0,"On Time","Late")))</f>
        <v>Early</v>
      </c>
      <c r="AF115" s="14" t="n">
        <f aca="false">IF(AND(T115=1,ISNUMBER(J115),N115&lt;&gt;"Cancelled"),J115-B115,"")</f>
        <v>4</v>
      </c>
      <c r="AG115" s="14" t="n">
        <f aca="false">IF(AND(AF115&lt;&gt;"",Z115&lt;&gt;""),K115-J115,"")</f>
        <v>1</v>
      </c>
      <c r="AH115" s="14" t="n">
        <f aca="false">IF(AND(Z115&lt;&gt;"",AD115&lt;&gt;""),M115-K115,"")</f>
        <v>3</v>
      </c>
      <c r="AI115" s="14" t="n">
        <f aca="false">IF(Z115&lt;&gt;"",K115-B115,"")</f>
        <v>5</v>
      </c>
      <c r="AJ115" s="14" t="n">
        <f aca="false">IF(AND(N115="Completed",AD115&lt;&gt;""),M115-B115,"")</f>
        <v>8</v>
      </c>
      <c r="AK115" s="14" t="str">
        <f aca="false">IF(N115="Cancelled","Cancelled",IF(N115="Completed","Completed",IF(Y115=1,"Awaiting Installation",IF(ISNUMBER(J115),"In Transit","In Production"))))</f>
        <v>Completed</v>
      </c>
      <c r="AL115" s="18" t="n">
        <f aca="false">IF(AND(N115="Pending",OR(AND(Y115=0,I115&lt;AsOf),AND(Y115=1,L115&lt;AsOf))),1,0)</f>
        <v>0</v>
      </c>
      <c r="AM115" s="14" t="str">
        <f aca="false">IF(AL115=1,IF(Y115=0,AsOf-I115,AsOf-L115),"")</f>
        <v/>
      </c>
      <c r="AN115" s="14" t="str">
        <f aca="false">IF(AL115=1,IF(Y115=0,"Delivery","Installation"),"")</f>
        <v/>
      </c>
      <c r="AO115" s="14" t="n">
        <f aca="false">IF(AND(OR(fCat="All",F115=fCat),OR(fCust="All",D115=fCust),OR(fReg="All",E115=fReg)),1,0)</f>
        <v>1</v>
      </c>
      <c r="AP115" s="14" t="n">
        <f aca="false">IF(AND(AL115=1,AO115=1),AM115+ROW()/100000,0)</f>
        <v>0</v>
      </c>
    </row>
    <row r="116" customFormat="false" ht="15" hidden="false" customHeight="false" outlineLevel="0" collapsed="false">
      <c r="A116" s="14" t="s">
        <v>576</v>
      </c>
      <c r="B116" s="15" t="n">
        <v>46165</v>
      </c>
      <c r="C116" s="14" t="s">
        <v>320</v>
      </c>
      <c r="D116" s="14" t="s">
        <v>149</v>
      </c>
      <c r="E116" s="14" t="s">
        <v>91</v>
      </c>
      <c r="F116" s="14" t="s">
        <v>160</v>
      </c>
      <c r="G116" s="14" t="n">
        <v>1</v>
      </c>
      <c r="H116" s="16" t="n">
        <v>99000</v>
      </c>
      <c r="I116" s="15" t="n">
        <v>46175</v>
      </c>
      <c r="J116" s="15" t="n">
        <v>46173</v>
      </c>
      <c r="K116" s="15" t="n">
        <v>46175</v>
      </c>
      <c r="L116" s="15" t="n">
        <v>46178</v>
      </c>
      <c r="M116" s="15" t="n">
        <v>46182</v>
      </c>
      <c r="N116" s="14" t="s">
        <v>75</v>
      </c>
      <c r="O116" s="14"/>
      <c r="P116" s="14" t="s">
        <v>111</v>
      </c>
      <c r="Q116" s="14"/>
      <c r="R116" s="14" t="s">
        <v>98</v>
      </c>
      <c r="S116" s="14" t="s">
        <v>745</v>
      </c>
      <c r="T116" s="14" t="n">
        <v>1</v>
      </c>
      <c r="U116" s="14" t="n">
        <v>1</v>
      </c>
      <c r="V116" s="14" t="n">
        <v>1</v>
      </c>
      <c r="W116" s="17" t="n">
        <f aca="false">DATE(YEAR(B116),MONTH(B116),1)</f>
        <v>46143</v>
      </c>
      <c r="X116" s="14" t="n">
        <f aca="false">IF(AND(N116&lt;&gt;"Cancelled",I116&lt;=AsOf),1,0)</f>
        <v>1</v>
      </c>
      <c r="Y116" s="14" t="n">
        <f aca="false">IF(AND(N116&lt;&gt;"Cancelled",OR(ISNUMBER(K116),N116="Completed")),1,0)</f>
        <v>1</v>
      </c>
      <c r="Z116" s="14" t="n">
        <f aca="false">IF(AND(Y116=1,U116=1,ISNUMBER(K116)),K116-I116,"")</f>
        <v>0</v>
      </c>
      <c r="AA116" s="14" t="str">
        <f aca="false">IF(Z116="","",IF(Z116&lt;0,"Early",IF(Z116=0,"On Time","Late")))</f>
        <v>On Time</v>
      </c>
      <c r="AB116" s="14" t="n">
        <f aca="false">IF(AND(N116&lt;&gt;"Cancelled",L116&lt;=AsOf),1,0)</f>
        <v>1</v>
      </c>
      <c r="AC116" s="14" t="n">
        <f aca="false">IF(AND(N116&lt;&gt;"Cancelled",OR(ISNUMBER(M116),N116="Completed")),1,0)</f>
        <v>1</v>
      </c>
      <c r="AD116" s="14" t="n">
        <f aca="false">IF(AND(AC116=1,V116=1,ISNUMBER(M116)),M116-L116,"")</f>
        <v>4</v>
      </c>
      <c r="AE116" s="14" t="str">
        <f aca="false">IF(AD116="","",IF(AD116&lt;0,"Early",IF(AD116=0,"On Time","Late")))</f>
        <v>Late</v>
      </c>
      <c r="AF116" s="14" t="n">
        <f aca="false">IF(AND(T116=1,ISNUMBER(J116),N116&lt;&gt;"Cancelled"),J116-B116,"")</f>
        <v>8</v>
      </c>
      <c r="AG116" s="14" t="n">
        <f aca="false">IF(AND(AF116&lt;&gt;"",Z116&lt;&gt;""),K116-J116,"")</f>
        <v>2</v>
      </c>
      <c r="AH116" s="14" t="n">
        <f aca="false">IF(AND(Z116&lt;&gt;"",AD116&lt;&gt;""),M116-K116,"")</f>
        <v>7</v>
      </c>
      <c r="AI116" s="14" t="n">
        <f aca="false">IF(Z116&lt;&gt;"",K116-B116,"")</f>
        <v>10</v>
      </c>
      <c r="AJ116" s="14" t="n">
        <f aca="false">IF(AND(N116="Completed",AD116&lt;&gt;""),M116-B116,"")</f>
        <v>17</v>
      </c>
      <c r="AK116" s="14" t="str">
        <f aca="false">IF(N116="Cancelled","Cancelled",IF(N116="Completed","Completed",IF(Y116=1,"Awaiting Installation",IF(ISNUMBER(J116),"In Transit","In Production"))))</f>
        <v>Completed</v>
      </c>
      <c r="AL116" s="18" t="n">
        <f aca="false">IF(AND(N116="Pending",OR(AND(Y116=0,I116&lt;AsOf),AND(Y116=1,L116&lt;AsOf))),1,0)</f>
        <v>0</v>
      </c>
      <c r="AM116" s="14" t="str">
        <f aca="false">IF(AL116=1,IF(Y116=0,AsOf-I116,AsOf-L116),"")</f>
        <v/>
      </c>
      <c r="AN116" s="14" t="str">
        <f aca="false">IF(AL116=1,IF(Y116=0,"Delivery","Installation"),"")</f>
        <v/>
      </c>
      <c r="AO116" s="14" t="n">
        <f aca="false">IF(AND(OR(fCat="All",F116=fCat),OR(fCust="All",D116=fCust),OR(fReg="All",E116=fReg)),1,0)</f>
        <v>1</v>
      </c>
      <c r="AP116" s="14" t="n">
        <f aca="false">IF(AND(AL116=1,AO116=1),AM116+ROW()/100000,0)</f>
        <v>0</v>
      </c>
    </row>
    <row r="117" customFormat="false" ht="15" hidden="false" customHeight="false" outlineLevel="0" collapsed="false">
      <c r="A117" s="14" t="s">
        <v>578</v>
      </c>
      <c r="B117" s="15" t="n">
        <v>46166</v>
      </c>
      <c r="C117" s="14" t="s">
        <v>579</v>
      </c>
      <c r="D117" s="14" t="s">
        <v>65</v>
      </c>
      <c r="E117" s="14" t="s">
        <v>102</v>
      </c>
      <c r="F117" s="14" t="s">
        <v>67</v>
      </c>
      <c r="G117" s="14" t="n">
        <v>4</v>
      </c>
      <c r="H117" s="16" t="n">
        <v>4408000</v>
      </c>
      <c r="I117" s="15" t="n">
        <v>46186</v>
      </c>
      <c r="J117" s="15" t="n">
        <v>46171</v>
      </c>
      <c r="K117" s="15" t="n">
        <v>46175</v>
      </c>
      <c r="L117" s="15" t="n">
        <v>46191</v>
      </c>
      <c r="M117" s="15" t="n">
        <v>46179</v>
      </c>
      <c r="N117" s="14" t="s">
        <v>75</v>
      </c>
      <c r="O117" s="14"/>
      <c r="P117" s="14"/>
      <c r="Q117" s="14"/>
      <c r="R117" s="14"/>
      <c r="S117" s="14" t="s">
        <v>745</v>
      </c>
      <c r="T117" s="14" t="n">
        <v>1</v>
      </c>
      <c r="U117" s="14" t="n">
        <v>1</v>
      </c>
      <c r="V117" s="14" t="n">
        <v>1</v>
      </c>
      <c r="W117" s="17" t="n">
        <f aca="false">DATE(YEAR(B117),MONTH(B117),1)</f>
        <v>46143</v>
      </c>
      <c r="X117" s="14" t="n">
        <f aca="false">IF(AND(N117&lt;&gt;"Cancelled",I117&lt;=AsOf),1,0)</f>
        <v>1</v>
      </c>
      <c r="Y117" s="14" t="n">
        <f aca="false">IF(AND(N117&lt;&gt;"Cancelled",OR(ISNUMBER(K117),N117="Completed")),1,0)</f>
        <v>1</v>
      </c>
      <c r="Z117" s="14" t="n">
        <f aca="false">IF(AND(Y117=1,U117=1,ISNUMBER(K117)),K117-I117,"")</f>
        <v>-11</v>
      </c>
      <c r="AA117" s="14" t="str">
        <f aca="false">IF(Z117="","",IF(Z117&lt;0,"Early",IF(Z117=0,"On Time","Late")))</f>
        <v>Early</v>
      </c>
      <c r="AB117" s="14" t="n">
        <f aca="false">IF(AND(N117&lt;&gt;"Cancelled",L117&lt;=AsOf),1,0)</f>
        <v>1</v>
      </c>
      <c r="AC117" s="14" t="n">
        <f aca="false">IF(AND(N117&lt;&gt;"Cancelled",OR(ISNUMBER(M117),N117="Completed")),1,0)</f>
        <v>1</v>
      </c>
      <c r="AD117" s="14" t="n">
        <f aca="false">IF(AND(AC117=1,V117=1,ISNUMBER(M117)),M117-L117,"")</f>
        <v>-12</v>
      </c>
      <c r="AE117" s="14" t="str">
        <f aca="false">IF(AD117="","",IF(AD117&lt;0,"Early",IF(AD117=0,"On Time","Late")))</f>
        <v>Early</v>
      </c>
      <c r="AF117" s="14" t="n">
        <f aca="false">IF(AND(T117=1,ISNUMBER(J117),N117&lt;&gt;"Cancelled"),J117-B117,"")</f>
        <v>5</v>
      </c>
      <c r="AG117" s="14" t="n">
        <f aca="false">IF(AND(AF117&lt;&gt;"",Z117&lt;&gt;""),K117-J117,"")</f>
        <v>4</v>
      </c>
      <c r="AH117" s="14" t="n">
        <f aca="false">IF(AND(Z117&lt;&gt;"",AD117&lt;&gt;""),M117-K117,"")</f>
        <v>4</v>
      </c>
      <c r="AI117" s="14" t="n">
        <f aca="false">IF(Z117&lt;&gt;"",K117-B117,"")</f>
        <v>9</v>
      </c>
      <c r="AJ117" s="14" t="n">
        <f aca="false">IF(AND(N117="Completed",AD117&lt;&gt;""),M117-B117,"")</f>
        <v>13</v>
      </c>
      <c r="AK117" s="14" t="str">
        <f aca="false">IF(N117="Cancelled","Cancelled",IF(N117="Completed","Completed",IF(Y117=1,"Awaiting Installation",IF(ISNUMBER(J117),"In Transit","In Production"))))</f>
        <v>Completed</v>
      </c>
      <c r="AL117" s="18" t="n">
        <f aca="false">IF(AND(N117="Pending",OR(AND(Y117=0,I117&lt;AsOf),AND(Y117=1,L117&lt;AsOf))),1,0)</f>
        <v>0</v>
      </c>
      <c r="AM117" s="14" t="str">
        <f aca="false">IF(AL117=1,IF(Y117=0,AsOf-I117,AsOf-L117),"")</f>
        <v/>
      </c>
      <c r="AN117" s="14" t="str">
        <f aca="false">IF(AL117=1,IF(Y117=0,"Delivery","Installation"),"")</f>
        <v/>
      </c>
      <c r="AO117" s="14" t="n">
        <f aca="false">IF(AND(OR(fCat="All",F117=fCat),OR(fCust="All",D117=fCust),OR(fReg="All",E117=fReg)),1,0)</f>
        <v>1</v>
      </c>
      <c r="AP117" s="14" t="n">
        <f aca="false">IF(AND(AL117=1,AO117=1),AM117+ROW()/100000,0)</f>
        <v>0</v>
      </c>
    </row>
    <row r="118" customFormat="false" ht="15" hidden="false" customHeight="false" outlineLevel="0" collapsed="false">
      <c r="A118" s="14" t="s">
        <v>581</v>
      </c>
      <c r="B118" s="15" t="n">
        <v>46166</v>
      </c>
      <c r="C118" s="14" t="s">
        <v>582</v>
      </c>
      <c r="D118" s="14" t="s">
        <v>90</v>
      </c>
      <c r="E118" s="14" t="s">
        <v>102</v>
      </c>
      <c r="F118" s="14" t="s">
        <v>103</v>
      </c>
      <c r="G118" s="14" t="n">
        <v>1</v>
      </c>
      <c r="H118" s="16" t="n">
        <v>476000</v>
      </c>
      <c r="I118" s="15" t="n">
        <v>46189</v>
      </c>
      <c r="J118" s="15" t="n">
        <v>46186</v>
      </c>
      <c r="K118" s="15" t="n">
        <v>46189</v>
      </c>
      <c r="L118" s="15" t="n">
        <v>46194</v>
      </c>
      <c r="M118" s="15" t="n">
        <v>46203</v>
      </c>
      <c r="N118" s="14" t="s">
        <v>75</v>
      </c>
      <c r="O118" s="14"/>
      <c r="P118" s="14" t="s">
        <v>183</v>
      </c>
      <c r="Q118" s="14"/>
      <c r="R118" s="14" t="s">
        <v>98</v>
      </c>
      <c r="S118" s="14" t="s">
        <v>745</v>
      </c>
      <c r="T118" s="14" t="n">
        <v>1</v>
      </c>
      <c r="U118" s="14" t="n">
        <v>1</v>
      </c>
      <c r="V118" s="14" t="n">
        <v>1</v>
      </c>
      <c r="W118" s="17" t="n">
        <f aca="false">DATE(YEAR(B118),MONTH(B118),1)</f>
        <v>46143</v>
      </c>
      <c r="X118" s="14" t="n">
        <f aca="false">IF(AND(N118&lt;&gt;"Cancelled",I118&lt;=AsOf),1,0)</f>
        <v>1</v>
      </c>
      <c r="Y118" s="14" t="n">
        <f aca="false">IF(AND(N118&lt;&gt;"Cancelled",OR(ISNUMBER(K118),N118="Completed")),1,0)</f>
        <v>1</v>
      </c>
      <c r="Z118" s="14" t="n">
        <f aca="false">IF(AND(Y118=1,U118=1,ISNUMBER(K118)),K118-I118,"")</f>
        <v>0</v>
      </c>
      <c r="AA118" s="14" t="str">
        <f aca="false">IF(Z118="","",IF(Z118&lt;0,"Early",IF(Z118=0,"On Time","Late")))</f>
        <v>On Time</v>
      </c>
      <c r="AB118" s="14" t="n">
        <f aca="false">IF(AND(N118&lt;&gt;"Cancelled",L118&lt;=AsOf),1,0)</f>
        <v>1</v>
      </c>
      <c r="AC118" s="14" t="n">
        <f aca="false">IF(AND(N118&lt;&gt;"Cancelled",OR(ISNUMBER(M118),N118="Completed")),1,0)</f>
        <v>1</v>
      </c>
      <c r="AD118" s="14" t="n">
        <f aca="false">IF(AND(AC118=1,V118=1,ISNUMBER(M118)),M118-L118,"")</f>
        <v>9</v>
      </c>
      <c r="AE118" s="14" t="str">
        <f aca="false">IF(AD118="","",IF(AD118&lt;0,"Early",IF(AD118=0,"On Time","Late")))</f>
        <v>Late</v>
      </c>
      <c r="AF118" s="14" t="n">
        <f aca="false">IF(AND(T118=1,ISNUMBER(J118),N118&lt;&gt;"Cancelled"),J118-B118,"")</f>
        <v>20</v>
      </c>
      <c r="AG118" s="14" t="n">
        <f aca="false">IF(AND(AF118&lt;&gt;"",Z118&lt;&gt;""),K118-J118,"")</f>
        <v>3</v>
      </c>
      <c r="AH118" s="14" t="n">
        <f aca="false">IF(AND(Z118&lt;&gt;"",AD118&lt;&gt;""),M118-K118,"")</f>
        <v>14</v>
      </c>
      <c r="AI118" s="14" t="n">
        <f aca="false">IF(Z118&lt;&gt;"",K118-B118,"")</f>
        <v>23</v>
      </c>
      <c r="AJ118" s="14" t="n">
        <f aca="false">IF(AND(N118="Completed",AD118&lt;&gt;""),M118-B118,"")</f>
        <v>37</v>
      </c>
      <c r="AK118" s="14" t="str">
        <f aca="false">IF(N118="Cancelled","Cancelled",IF(N118="Completed","Completed",IF(Y118=1,"Awaiting Installation",IF(ISNUMBER(J118),"In Transit","In Production"))))</f>
        <v>Completed</v>
      </c>
      <c r="AL118" s="18" t="n">
        <f aca="false">IF(AND(N118="Pending",OR(AND(Y118=0,I118&lt;AsOf),AND(Y118=1,L118&lt;AsOf))),1,0)</f>
        <v>0</v>
      </c>
      <c r="AM118" s="14" t="str">
        <f aca="false">IF(AL118=1,IF(Y118=0,AsOf-I118,AsOf-L118),"")</f>
        <v/>
      </c>
      <c r="AN118" s="14" t="str">
        <f aca="false">IF(AL118=1,IF(Y118=0,"Delivery","Installation"),"")</f>
        <v/>
      </c>
      <c r="AO118" s="14" t="n">
        <f aca="false">IF(AND(OR(fCat="All",F118=fCat),OR(fCust="All",D118=fCust),OR(fReg="All",E118=fReg)),1,0)</f>
        <v>1</v>
      </c>
      <c r="AP118" s="14" t="n">
        <f aca="false">IF(AND(AL118=1,AO118=1),AM118+ROW()/100000,0)</f>
        <v>0</v>
      </c>
    </row>
    <row r="119" customFormat="false" ht="15" hidden="false" customHeight="false" outlineLevel="0" collapsed="false">
      <c r="A119" s="14" t="s">
        <v>584</v>
      </c>
      <c r="B119" s="15" t="n">
        <v>46166</v>
      </c>
      <c r="C119" s="14" t="s">
        <v>472</v>
      </c>
      <c r="D119" s="14" t="s">
        <v>90</v>
      </c>
      <c r="E119" s="14" t="s">
        <v>102</v>
      </c>
      <c r="F119" s="14" t="s">
        <v>103</v>
      </c>
      <c r="G119" s="14" t="n">
        <v>2</v>
      </c>
      <c r="H119" s="16" t="n">
        <v>1114000</v>
      </c>
      <c r="I119" s="15" t="n">
        <v>46189</v>
      </c>
      <c r="J119" s="15"/>
      <c r="K119" s="15"/>
      <c r="L119" s="15" t="n">
        <v>46194</v>
      </c>
      <c r="M119" s="15"/>
      <c r="N119" s="14" t="s">
        <v>188</v>
      </c>
      <c r="O119" s="14"/>
      <c r="P119" s="14"/>
      <c r="Q119" s="14" t="s">
        <v>220</v>
      </c>
      <c r="R119" s="14"/>
      <c r="S119" s="14" t="s">
        <v>745</v>
      </c>
      <c r="T119" s="14" t="n">
        <v>1</v>
      </c>
      <c r="U119" s="14" t="n">
        <v>1</v>
      </c>
      <c r="V119" s="14" t="n">
        <v>1</v>
      </c>
      <c r="W119" s="17" t="n">
        <f aca="false">DATE(YEAR(B119),MONTH(B119),1)</f>
        <v>46143</v>
      </c>
      <c r="X119" s="14" t="n">
        <f aca="false">IF(AND(N119&lt;&gt;"Cancelled",I119&lt;=AsOf),1,0)</f>
        <v>0</v>
      </c>
      <c r="Y119" s="14" t="n">
        <f aca="false">IF(AND(N119&lt;&gt;"Cancelled",OR(ISNUMBER(K119),N119="Completed")),1,0)</f>
        <v>0</v>
      </c>
      <c r="Z119" s="14" t="str">
        <f aca="false">IF(AND(Y119=1,U119=1,ISNUMBER(K119)),K119-I119,"")</f>
        <v/>
      </c>
      <c r="AA119" s="14" t="str">
        <f aca="false">IF(Z119="","",IF(Z119&lt;0,"Early",IF(Z119=0,"On Time","Late")))</f>
        <v/>
      </c>
      <c r="AB119" s="14" t="n">
        <f aca="false">IF(AND(N119&lt;&gt;"Cancelled",L119&lt;=AsOf),1,0)</f>
        <v>0</v>
      </c>
      <c r="AC119" s="14" t="n">
        <f aca="false">IF(AND(N119&lt;&gt;"Cancelled",OR(ISNUMBER(M119),N119="Completed")),1,0)</f>
        <v>0</v>
      </c>
      <c r="AD119" s="14" t="str">
        <f aca="false">IF(AND(AC119=1,V119=1,ISNUMBER(M119)),M119-L119,"")</f>
        <v/>
      </c>
      <c r="AE119" s="14" t="str">
        <f aca="false">IF(AD119="","",IF(AD119&lt;0,"Early",IF(AD119=0,"On Time","Late")))</f>
        <v/>
      </c>
      <c r="AF119" s="14" t="str">
        <f aca="false">IF(AND(T119=1,ISNUMBER(J119),N119&lt;&gt;"Cancelled"),J119-B119,"")</f>
        <v/>
      </c>
      <c r="AG119" s="14" t="str">
        <f aca="false">IF(AND(AF119&lt;&gt;"",Z119&lt;&gt;""),K119-J119,"")</f>
        <v/>
      </c>
      <c r="AH119" s="14" t="str">
        <f aca="false">IF(AND(Z119&lt;&gt;"",AD119&lt;&gt;""),M119-K119,"")</f>
        <v/>
      </c>
      <c r="AI119" s="14" t="str">
        <f aca="false">IF(Z119&lt;&gt;"",K119-B119,"")</f>
        <v/>
      </c>
      <c r="AJ119" s="14" t="str">
        <f aca="false">IF(AND(N119="Completed",AD119&lt;&gt;""),M119-B119,"")</f>
        <v/>
      </c>
      <c r="AK119" s="14" t="str">
        <f aca="false">IF(N119="Cancelled","Cancelled",IF(N119="Completed","Completed",IF(Y119=1,"Awaiting Installation",IF(ISNUMBER(J119),"In Transit","In Production"))))</f>
        <v>Cancelled</v>
      </c>
      <c r="AL119" s="18" t="n">
        <f aca="false">IF(AND(N119="Pending",OR(AND(Y119=0,I119&lt;AsOf),AND(Y119=1,L119&lt;AsOf))),1,0)</f>
        <v>0</v>
      </c>
      <c r="AM119" s="14" t="str">
        <f aca="false">IF(AL119=1,IF(Y119=0,AsOf-I119,AsOf-L119),"")</f>
        <v/>
      </c>
      <c r="AN119" s="14" t="str">
        <f aca="false">IF(AL119=1,IF(Y119=0,"Delivery","Installation"),"")</f>
        <v/>
      </c>
      <c r="AO119" s="14" t="n">
        <f aca="false">IF(AND(OR(fCat="All",F119=fCat),OR(fCust="All",D119=fCust),OR(fReg="All",E119=fReg)),1,0)</f>
        <v>1</v>
      </c>
      <c r="AP119" s="14" t="n">
        <f aca="false">IF(AND(AL119=1,AO119=1),AM119+ROW()/100000,0)</f>
        <v>0</v>
      </c>
    </row>
    <row r="120" customFormat="false" ht="15" hidden="false" customHeight="false" outlineLevel="0" collapsed="false">
      <c r="A120" s="14" t="s">
        <v>586</v>
      </c>
      <c r="B120" s="15" t="n">
        <v>46166</v>
      </c>
      <c r="C120" s="14" t="s">
        <v>174</v>
      </c>
      <c r="D120" s="14" t="s">
        <v>90</v>
      </c>
      <c r="E120" s="14" t="s">
        <v>102</v>
      </c>
      <c r="F120" s="14" t="s">
        <v>160</v>
      </c>
      <c r="G120" s="14" t="n">
        <v>1</v>
      </c>
      <c r="H120" s="16" t="n">
        <v>202000</v>
      </c>
      <c r="I120" s="15" t="n">
        <v>46178</v>
      </c>
      <c r="J120" s="15" t="n">
        <v>46172</v>
      </c>
      <c r="K120" s="15" t="n">
        <v>46174</v>
      </c>
      <c r="L120" s="15" t="n">
        <v>46181</v>
      </c>
      <c r="M120" s="15" t="n">
        <v>46175</v>
      </c>
      <c r="N120" s="14" t="s">
        <v>75</v>
      </c>
      <c r="O120" s="14"/>
      <c r="P120" s="14"/>
      <c r="Q120" s="14"/>
      <c r="R120" s="14"/>
      <c r="S120" s="14" t="s">
        <v>745</v>
      </c>
      <c r="T120" s="14" t="n">
        <v>1</v>
      </c>
      <c r="U120" s="14" t="n">
        <v>1</v>
      </c>
      <c r="V120" s="14" t="n">
        <v>1</v>
      </c>
      <c r="W120" s="17" t="n">
        <f aca="false">DATE(YEAR(B120),MONTH(B120),1)</f>
        <v>46143</v>
      </c>
      <c r="X120" s="14" t="n">
        <f aca="false">IF(AND(N120&lt;&gt;"Cancelled",I120&lt;=AsOf),1,0)</f>
        <v>1</v>
      </c>
      <c r="Y120" s="14" t="n">
        <f aca="false">IF(AND(N120&lt;&gt;"Cancelled",OR(ISNUMBER(K120),N120="Completed")),1,0)</f>
        <v>1</v>
      </c>
      <c r="Z120" s="14" t="n">
        <f aca="false">IF(AND(Y120=1,U120=1,ISNUMBER(K120)),K120-I120,"")</f>
        <v>-4</v>
      </c>
      <c r="AA120" s="14" t="str">
        <f aca="false">IF(Z120="","",IF(Z120&lt;0,"Early",IF(Z120=0,"On Time","Late")))</f>
        <v>Early</v>
      </c>
      <c r="AB120" s="14" t="n">
        <f aca="false">IF(AND(N120&lt;&gt;"Cancelled",L120&lt;=AsOf),1,0)</f>
        <v>1</v>
      </c>
      <c r="AC120" s="14" t="n">
        <f aca="false">IF(AND(N120&lt;&gt;"Cancelled",OR(ISNUMBER(M120),N120="Completed")),1,0)</f>
        <v>1</v>
      </c>
      <c r="AD120" s="14" t="n">
        <f aca="false">IF(AND(AC120=1,V120=1,ISNUMBER(M120)),M120-L120,"")</f>
        <v>-6</v>
      </c>
      <c r="AE120" s="14" t="str">
        <f aca="false">IF(AD120="","",IF(AD120&lt;0,"Early",IF(AD120=0,"On Time","Late")))</f>
        <v>Early</v>
      </c>
      <c r="AF120" s="14" t="n">
        <f aca="false">IF(AND(T120=1,ISNUMBER(J120),N120&lt;&gt;"Cancelled"),J120-B120,"")</f>
        <v>6</v>
      </c>
      <c r="AG120" s="14" t="n">
        <f aca="false">IF(AND(AF120&lt;&gt;"",Z120&lt;&gt;""),K120-J120,"")</f>
        <v>2</v>
      </c>
      <c r="AH120" s="14" t="n">
        <f aca="false">IF(AND(Z120&lt;&gt;"",AD120&lt;&gt;""),M120-K120,"")</f>
        <v>1</v>
      </c>
      <c r="AI120" s="14" t="n">
        <f aca="false">IF(Z120&lt;&gt;"",K120-B120,"")</f>
        <v>8</v>
      </c>
      <c r="AJ120" s="14" t="n">
        <f aca="false">IF(AND(N120="Completed",AD120&lt;&gt;""),M120-B120,"")</f>
        <v>9</v>
      </c>
      <c r="AK120" s="14" t="str">
        <f aca="false">IF(N120="Cancelled","Cancelled",IF(N120="Completed","Completed",IF(Y120=1,"Awaiting Installation",IF(ISNUMBER(J120),"In Transit","In Production"))))</f>
        <v>Completed</v>
      </c>
      <c r="AL120" s="18" t="n">
        <f aca="false">IF(AND(N120="Pending",OR(AND(Y120=0,I120&lt;AsOf),AND(Y120=1,L120&lt;AsOf))),1,0)</f>
        <v>0</v>
      </c>
      <c r="AM120" s="14" t="str">
        <f aca="false">IF(AL120=1,IF(Y120=0,AsOf-I120,AsOf-L120),"")</f>
        <v/>
      </c>
      <c r="AN120" s="14" t="str">
        <f aca="false">IF(AL120=1,IF(Y120=0,"Delivery","Installation"),"")</f>
        <v/>
      </c>
      <c r="AO120" s="14" t="n">
        <f aca="false">IF(AND(OR(fCat="All",F120=fCat),OR(fCust="All",D120=fCust),OR(fReg="All",E120=fReg)),1,0)</f>
        <v>1</v>
      </c>
      <c r="AP120" s="14" t="n">
        <f aca="false">IF(AND(AL120=1,AO120=1),AM120+ROW()/100000,0)</f>
        <v>0</v>
      </c>
    </row>
    <row r="121" customFormat="false" ht="15" hidden="false" customHeight="false" outlineLevel="0" collapsed="false">
      <c r="A121" s="14" t="s">
        <v>587</v>
      </c>
      <c r="B121" s="15" t="n">
        <v>46167</v>
      </c>
      <c r="C121" s="14" t="s">
        <v>588</v>
      </c>
      <c r="D121" s="14" t="s">
        <v>90</v>
      </c>
      <c r="E121" s="14" t="s">
        <v>91</v>
      </c>
      <c r="F121" s="14" t="s">
        <v>103</v>
      </c>
      <c r="G121" s="14" t="n">
        <v>1</v>
      </c>
      <c r="H121" s="16" t="n">
        <v>573000</v>
      </c>
      <c r="I121" s="15" t="n">
        <v>46188</v>
      </c>
      <c r="J121" s="15" t="n">
        <v>46185</v>
      </c>
      <c r="K121" s="15" t="n">
        <v>46186</v>
      </c>
      <c r="L121" s="15" t="n">
        <v>46193</v>
      </c>
      <c r="M121" s="15" t="n">
        <v>46190</v>
      </c>
      <c r="N121" s="14" t="s">
        <v>75</v>
      </c>
      <c r="O121" s="14"/>
      <c r="P121" s="14"/>
      <c r="Q121" s="14"/>
      <c r="R121" s="14"/>
      <c r="S121" s="14" t="s">
        <v>745</v>
      </c>
      <c r="T121" s="14" t="n">
        <v>1</v>
      </c>
      <c r="U121" s="14" t="n">
        <v>1</v>
      </c>
      <c r="V121" s="14" t="n">
        <v>1</v>
      </c>
      <c r="W121" s="17" t="n">
        <f aca="false">DATE(YEAR(B121),MONTH(B121),1)</f>
        <v>46143</v>
      </c>
      <c r="X121" s="14" t="n">
        <f aca="false">IF(AND(N121&lt;&gt;"Cancelled",I121&lt;=AsOf),1,0)</f>
        <v>1</v>
      </c>
      <c r="Y121" s="14" t="n">
        <f aca="false">IF(AND(N121&lt;&gt;"Cancelled",OR(ISNUMBER(K121),N121="Completed")),1,0)</f>
        <v>1</v>
      </c>
      <c r="Z121" s="14" t="n">
        <f aca="false">IF(AND(Y121=1,U121=1,ISNUMBER(K121)),K121-I121,"")</f>
        <v>-2</v>
      </c>
      <c r="AA121" s="14" t="str">
        <f aca="false">IF(Z121="","",IF(Z121&lt;0,"Early",IF(Z121=0,"On Time","Late")))</f>
        <v>Early</v>
      </c>
      <c r="AB121" s="14" t="n">
        <f aca="false">IF(AND(N121&lt;&gt;"Cancelled",L121&lt;=AsOf),1,0)</f>
        <v>1</v>
      </c>
      <c r="AC121" s="14" t="n">
        <f aca="false">IF(AND(N121&lt;&gt;"Cancelled",OR(ISNUMBER(M121),N121="Completed")),1,0)</f>
        <v>1</v>
      </c>
      <c r="AD121" s="14" t="n">
        <f aca="false">IF(AND(AC121=1,V121=1,ISNUMBER(M121)),M121-L121,"")</f>
        <v>-3</v>
      </c>
      <c r="AE121" s="14" t="str">
        <f aca="false">IF(AD121="","",IF(AD121&lt;0,"Early",IF(AD121=0,"On Time","Late")))</f>
        <v>Early</v>
      </c>
      <c r="AF121" s="14" t="n">
        <f aca="false">IF(AND(T121=1,ISNUMBER(J121),N121&lt;&gt;"Cancelled"),J121-B121,"")</f>
        <v>18</v>
      </c>
      <c r="AG121" s="14" t="n">
        <f aca="false">IF(AND(AF121&lt;&gt;"",Z121&lt;&gt;""),K121-J121,"")</f>
        <v>1</v>
      </c>
      <c r="AH121" s="14" t="n">
        <f aca="false">IF(AND(Z121&lt;&gt;"",AD121&lt;&gt;""),M121-K121,"")</f>
        <v>4</v>
      </c>
      <c r="AI121" s="14" t="n">
        <f aca="false">IF(Z121&lt;&gt;"",K121-B121,"")</f>
        <v>19</v>
      </c>
      <c r="AJ121" s="14" t="n">
        <f aca="false">IF(AND(N121="Completed",AD121&lt;&gt;""),M121-B121,"")</f>
        <v>23</v>
      </c>
      <c r="AK121" s="14" t="str">
        <f aca="false">IF(N121="Cancelled","Cancelled",IF(N121="Completed","Completed",IF(Y121=1,"Awaiting Installation",IF(ISNUMBER(J121),"In Transit","In Production"))))</f>
        <v>Completed</v>
      </c>
      <c r="AL121" s="18" t="n">
        <f aca="false">IF(AND(N121="Pending",OR(AND(Y121=0,I121&lt;AsOf),AND(Y121=1,L121&lt;AsOf))),1,0)</f>
        <v>0</v>
      </c>
      <c r="AM121" s="14" t="str">
        <f aca="false">IF(AL121=1,IF(Y121=0,AsOf-I121,AsOf-L121),"")</f>
        <v/>
      </c>
      <c r="AN121" s="14" t="str">
        <f aca="false">IF(AL121=1,IF(Y121=0,"Delivery","Installation"),"")</f>
        <v/>
      </c>
      <c r="AO121" s="14" t="n">
        <f aca="false">IF(AND(OR(fCat="All",F121=fCat),OR(fCust="All",D121=fCust),OR(fReg="All",E121=fReg)),1,0)</f>
        <v>1</v>
      </c>
      <c r="AP121" s="14" t="n">
        <f aca="false">IF(AND(AL121=1,AO121=1),AM121+ROW()/100000,0)</f>
        <v>0</v>
      </c>
    </row>
    <row r="122" customFormat="false" ht="15" hidden="false" customHeight="false" outlineLevel="0" collapsed="false">
      <c r="A122" s="14" t="s">
        <v>592</v>
      </c>
      <c r="B122" s="15" t="n">
        <v>46167</v>
      </c>
      <c r="C122" s="14" t="s">
        <v>212</v>
      </c>
      <c r="D122" s="14" t="s">
        <v>90</v>
      </c>
      <c r="E122" s="14" t="s">
        <v>91</v>
      </c>
      <c r="F122" s="14" t="s">
        <v>160</v>
      </c>
      <c r="G122" s="14" t="n">
        <v>1</v>
      </c>
      <c r="H122" s="16" t="n">
        <v>202000</v>
      </c>
      <c r="I122" s="15" t="n">
        <v>46177</v>
      </c>
      <c r="J122" s="15" t="n">
        <v>46176</v>
      </c>
      <c r="K122" s="15" t="n">
        <v>46177</v>
      </c>
      <c r="L122" s="15" t="n">
        <v>46180</v>
      </c>
      <c r="M122" s="15" t="n">
        <v>46179</v>
      </c>
      <c r="N122" s="14" t="s">
        <v>75</v>
      </c>
      <c r="O122" s="14"/>
      <c r="P122" s="14"/>
      <c r="Q122" s="14"/>
      <c r="R122" s="14" t="s">
        <v>86</v>
      </c>
      <c r="S122" s="14" t="s">
        <v>745</v>
      </c>
      <c r="T122" s="14" t="n">
        <v>1</v>
      </c>
      <c r="U122" s="14" t="n">
        <v>1</v>
      </c>
      <c r="V122" s="14" t="n">
        <v>1</v>
      </c>
      <c r="W122" s="17" t="n">
        <f aca="false">DATE(YEAR(B122),MONTH(B122),1)</f>
        <v>46143</v>
      </c>
      <c r="X122" s="14" t="n">
        <f aca="false">IF(AND(N122&lt;&gt;"Cancelled",I122&lt;=AsOf),1,0)</f>
        <v>1</v>
      </c>
      <c r="Y122" s="14" t="n">
        <f aca="false">IF(AND(N122&lt;&gt;"Cancelled",OR(ISNUMBER(K122),N122="Completed")),1,0)</f>
        <v>1</v>
      </c>
      <c r="Z122" s="14" t="n">
        <f aca="false">IF(AND(Y122=1,U122=1,ISNUMBER(K122)),K122-I122,"")</f>
        <v>0</v>
      </c>
      <c r="AA122" s="14" t="str">
        <f aca="false">IF(Z122="","",IF(Z122&lt;0,"Early",IF(Z122=0,"On Time","Late")))</f>
        <v>On Time</v>
      </c>
      <c r="AB122" s="14" t="n">
        <f aca="false">IF(AND(N122&lt;&gt;"Cancelled",L122&lt;=AsOf),1,0)</f>
        <v>1</v>
      </c>
      <c r="AC122" s="14" t="n">
        <f aca="false">IF(AND(N122&lt;&gt;"Cancelled",OR(ISNUMBER(M122),N122="Completed")),1,0)</f>
        <v>1</v>
      </c>
      <c r="AD122" s="14" t="n">
        <f aca="false">IF(AND(AC122=1,V122=1,ISNUMBER(M122)),M122-L122,"")</f>
        <v>-1</v>
      </c>
      <c r="AE122" s="14" t="str">
        <f aca="false">IF(AD122="","",IF(AD122&lt;0,"Early",IF(AD122=0,"On Time","Late")))</f>
        <v>Early</v>
      </c>
      <c r="AF122" s="14" t="n">
        <f aca="false">IF(AND(T122=1,ISNUMBER(J122),N122&lt;&gt;"Cancelled"),J122-B122,"")</f>
        <v>9</v>
      </c>
      <c r="AG122" s="14" t="n">
        <f aca="false">IF(AND(AF122&lt;&gt;"",Z122&lt;&gt;""),K122-J122,"")</f>
        <v>1</v>
      </c>
      <c r="AH122" s="14" t="n">
        <f aca="false">IF(AND(Z122&lt;&gt;"",AD122&lt;&gt;""),M122-K122,"")</f>
        <v>2</v>
      </c>
      <c r="AI122" s="14" t="n">
        <f aca="false">IF(Z122&lt;&gt;"",K122-B122,"")</f>
        <v>10</v>
      </c>
      <c r="AJ122" s="14" t="n">
        <f aca="false">IF(AND(N122="Completed",AD122&lt;&gt;""),M122-B122,"")</f>
        <v>12</v>
      </c>
      <c r="AK122" s="14" t="str">
        <f aca="false">IF(N122="Cancelled","Cancelled",IF(N122="Completed","Completed",IF(Y122=1,"Awaiting Installation",IF(ISNUMBER(J122),"In Transit","In Production"))))</f>
        <v>Completed</v>
      </c>
      <c r="AL122" s="18" t="n">
        <f aca="false">IF(AND(N122="Pending",OR(AND(Y122=0,I122&lt;AsOf),AND(Y122=1,L122&lt;AsOf))),1,0)</f>
        <v>0</v>
      </c>
      <c r="AM122" s="14" t="str">
        <f aca="false">IF(AL122=1,IF(Y122=0,AsOf-I122,AsOf-L122),"")</f>
        <v/>
      </c>
      <c r="AN122" s="14" t="str">
        <f aca="false">IF(AL122=1,IF(Y122=0,"Delivery","Installation"),"")</f>
        <v/>
      </c>
      <c r="AO122" s="14" t="n">
        <f aca="false">IF(AND(OR(fCat="All",F122=fCat),OR(fCust="All",D122=fCust),OR(fReg="All",E122=fReg)),1,0)</f>
        <v>1</v>
      </c>
      <c r="AP122" s="14" t="n">
        <f aca="false">IF(AND(AL122=1,AO122=1),AM122+ROW()/100000,0)</f>
        <v>0</v>
      </c>
    </row>
    <row r="123" customFormat="false" ht="15" hidden="false" customHeight="false" outlineLevel="0" collapsed="false">
      <c r="A123" s="14" t="s">
        <v>593</v>
      </c>
      <c r="B123" s="15" t="n">
        <v>46168</v>
      </c>
      <c r="C123" s="14" t="s">
        <v>262</v>
      </c>
      <c r="D123" s="14" t="s">
        <v>90</v>
      </c>
      <c r="E123" s="14" t="s">
        <v>91</v>
      </c>
      <c r="F123" s="14" t="s">
        <v>67</v>
      </c>
      <c r="G123" s="14" t="n">
        <v>1</v>
      </c>
      <c r="H123" s="16" t="n">
        <v>440000</v>
      </c>
      <c r="I123" s="15" t="n">
        <v>46186</v>
      </c>
      <c r="J123" s="15" t="n">
        <v>46195</v>
      </c>
      <c r="K123" s="15" t="n">
        <v>46197</v>
      </c>
      <c r="L123" s="15" t="n">
        <v>46191</v>
      </c>
      <c r="M123" s="15" t="n">
        <v>46202</v>
      </c>
      <c r="N123" s="14" t="s">
        <v>75</v>
      </c>
      <c r="O123" s="14" t="s">
        <v>84</v>
      </c>
      <c r="P123" s="14"/>
      <c r="Q123" s="14"/>
      <c r="R123" s="14" t="s">
        <v>226</v>
      </c>
      <c r="S123" s="14" t="s">
        <v>745</v>
      </c>
      <c r="T123" s="14" t="n">
        <v>1</v>
      </c>
      <c r="U123" s="14" t="n">
        <v>1</v>
      </c>
      <c r="V123" s="14" t="n">
        <v>1</v>
      </c>
      <c r="W123" s="17" t="n">
        <f aca="false">DATE(YEAR(B123),MONTH(B123),1)</f>
        <v>46143</v>
      </c>
      <c r="X123" s="14" t="n">
        <f aca="false">IF(AND(N123&lt;&gt;"Cancelled",I123&lt;=AsOf),1,0)</f>
        <v>1</v>
      </c>
      <c r="Y123" s="14" t="n">
        <f aca="false">IF(AND(N123&lt;&gt;"Cancelled",OR(ISNUMBER(K123),N123="Completed")),1,0)</f>
        <v>1</v>
      </c>
      <c r="Z123" s="14" t="n">
        <f aca="false">IF(AND(Y123=1,U123=1,ISNUMBER(K123)),K123-I123,"")</f>
        <v>11</v>
      </c>
      <c r="AA123" s="14" t="str">
        <f aca="false">IF(Z123="","",IF(Z123&lt;0,"Early",IF(Z123=0,"On Time","Late")))</f>
        <v>Late</v>
      </c>
      <c r="AB123" s="14" t="n">
        <f aca="false">IF(AND(N123&lt;&gt;"Cancelled",L123&lt;=AsOf),1,0)</f>
        <v>1</v>
      </c>
      <c r="AC123" s="14" t="n">
        <f aca="false">IF(AND(N123&lt;&gt;"Cancelled",OR(ISNUMBER(M123),N123="Completed")),1,0)</f>
        <v>1</v>
      </c>
      <c r="AD123" s="14" t="n">
        <f aca="false">IF(AND(AC123=1,V123=1,ISNUMBER(M123)),M123-L123,"")</f>
        <v>11</v>
      </c>
      <c r="AE123" s="14" t="str">
        <f aca="false">IF(AD123="","",IF(AD123&lt;0,"Early",IF(AD123=0,"On Time","Late")))</f>
        <v>Late</v>
      </c>
      <c r="AF123" s="14" t="n">
        <f aca="false">IF(AND(T123=1,ISNUMBER(J123),N123&lt;&gt;"Cancelled"),J123-B123,"")</f>
        <v>27</v>
      </c>
      <c r="AG123" s="14" t="n">
        <f aca="false">IF(AND(AF123&lt;&gt;"",Z123&lt;&gt;""),K123-J123,"")</f>
        <v>2</v>
      </c>
      <c r="AH123" s="14" t="n">
        <f aca="false">IF(AND(Z123&lt;&gt;"",AD123&lt;&gt;""),M123-K123,"")</f>
        <v>5</v>
      </c>
      <c r="AI123" s="14" t="n">
        <f aca="false">IF(Z123&lt;&gt;"",K123-B123,"")</f>
        <v>29</v>
      </c>
      <c r="AJ123" s="14" t="n">
        <f aca="false">IF(AND(N123="Completed",AD123&lt;&gt;""),M123-B123,"")</f>
        <v>34</v>
      </c>
      <c r="AK123" s="14" t="str">
        <f aca="false">IF(N123="Cancelled","Cancelled",IF(N123="Completed","Completed",IF(Y123=1,"Awaiting Installation",IF(ISNUMBER(J123),"In Transit","In Production"))))</f>
        <v>Completed</v>
      </c>
      <c r="AL123" s="18" t="n">
        <f aca="false">IF(AND(N123="Pending",OR(AND(Y123=0,I123&lt;AsOf),AND(Y123=1,L123&lt;AsOf))),1,0)</f>
        <v>0</v>
      </c>
      <c r="AM123" s="14" t="str">
        <f aca="false">IF(AL123=1,IF(Y123=0,AsOf-I123,AsOf-L123),"")</f>
        <v/>
      </c>
      <c r="AN123" s="14" t="str">
        <f aca="false">IF(AL123=1,IF(Y123=0,"Delivery","Installation"),"")</f>
        <v/>
      </c>
      <c r="AO123" s="14" t="n">
        <f aca="false">IF(AND(OR(fCat="All",F123=fCat),OR(fCust="All",D123=fCust),OR(fReg="All",E123=fReg)),1,0)</f>
        <v>1</v>
      </c>
      <c r="AP123" s="14" t="n">
        <f aca="false">IF(AND(AL123=1,AO123=1),AM123+ROW()/100000,0)</f>
        <v>0</v>
      </c>
    </row>
    <row r="124" customFormat="false" ht="15" hidden="false" customHeight="false" outlineLevel="0" collapsed="false">
      <c r="A124" s="14" t="s">
        <v>595</v>
      </c>
      <c r="B124" s="15" t="n">
        <v>46168</v>
      </c>
      <c r="C124" s="14" t="s">
        <v>549</v>
      </c>
      <c r="D124" s="14" t="s">
        <v>65</v>
      </c>
      <c r="E124" s="14" t="s">
        <v>102</v>
      </c>
      <c r="F124" s="14" t="s">
        <v>160</v>
      </c>
      <c r="G124" s="14" t="n">
        <v>1</v>
      </c>
      <c r="H124" s="16" t="n">
        <v>210000</v>
      </c>
      <c r="I124" s="15" t="n">
        <v>46180</v>
      </c>
      <c r="J124" s="15" t="n">
        <v>46172</v>
      </c>
      <c r="K124" s="15" t="n">
        <v>46174</v>
      </c>
      <c r="L124" s="15" t="n">
        <v>46183</v>
      </c>
      <c r="M124" s="15" t="n">
        <v>46184</v>
      </c>
      <c r="N124" s="14" t="s">
        <v>75</v>
      </c>
      <c r="O124" s="14"/>
      <c r="P124" s="14" t="s">
        <v>183</v>
      </c>
      <c r="Q124" s="14"/>
      <c r="R124" s="14" t="s">
        <v>226</v>
      </c>
      <c r="S124" s="14" t="s">
        <v>745</v>
      </c>
      <c r="T124" s="14" t="n">
        <v>1</v>
      </c>
      <c r="U124" s="14" t="n">
        <v>1</v>
      </c>
      <c r="V124" s="14" t="n">
        <v>1</v>
      </c>
      <c r="W124" s="17" t="n">
        <f aca="false">DATE(YEAR(B124),MONTH(B124),1)</f>
        <v>46143</v>
      </c>
      <c r="X124" s="14" t="n">
        <f aca="false">IF(AND(N124&lt;&gt;"Cancelled",I124&lt;=AsOf),1,0)</f>
        <v>1</v>
      </c>
      <c r="Y124" s="14" t="n">
        <f aca="false">IF(AND(N124&lt;&gt;"Cancelled",OR(ISNUMBER(K124),N124="Completed")),1,0)</f>
        <v>1</v>
      </c>
      <c r="Z124" s="14" t="n">
        <f aca="false">IF(AND(Y124=1,U124=1,ISNUMBER(K124)),K124-I124,"")</f>
        <v>-6</v>
      </c>
      <c r="AA124" s="14" t="str">
        <f aca="false">IF(Z124="","",IF(Z124&lt;0,"Early",IF(Z124=0,"On Time","Late")))</f>
        <v>Early</v>
      </c>
      <c r="AB124" s="14" t="n">
        <f aca="false">IF(AND(N124&lt;&gt;"Cancelled",L124&lt;=AsOf),1,0)</f>
        <v>1</v>
      </c>
      <c r="AC124" s="14" t="n">
        <f aca="false">IF(AND(N124&lt;&gt;"Cancelled",OR(ISNUMBER(M124),N124="Completed")),1,0)</f>
        <v>1</v>
      </c>
      <c r="AD124" s="14" t="n">
        <f aca="false">IF(AND(AC124=1,V124=1,ISNUMBER(M124)),M124-L124,"")</f>
        <v>1</v>
      </c>
      <c r="AE124" s="14" t="str">
        <f aca="false">IF(AD124="","",IF(AD124&lt;0,"Early",IF(AD124=0,"On Time","Late")))</f>
        <v>Late</v>
      </c>
      <c r="AF124" s="14" t="n">
        <f aca="false">IF(AND(T124=1,ISNUMBER(J124),N124&lt;&gt;"Cancelled"),J124-B124,"")</f>
        <v>4</v>
      </c>
      <c r="AG124" s="14" t="n">
        <f aca="false">IF(AND(AF124&lt;&gt;"",Z124&lt;&gt;""),K124-J124,"")</f>
        <v>2</v>
      </c>
      <c r="AH124" s="14" t="n">
        <f aca="false">IF(AND(Z124&lt;&gt;"",AD124&lt;&gt;""),M124-K124,"")</f>
        <v>10</v>
      </c>
      <c r="AI124" s="14" t="n">
        <f aca="false">IF(Z124&lt;&gt;"",K124-B124,"")</f>
        <v>6</v>
      </c>
      <c r="AJ124" s="14" t="n">
        <f aca="false">IF(AND(N124="Completed",AD124&lt;&gt;""),M124-B124,"")</f>
        <v>16</v>
      </c>
      <c r="AK124" s="14" t="str">
        <f aca="false">IF(N124="Cancelled","Cancelled",IF(N124="Completed","Completed",IF(Y124=1,"Awaiting Installation",IF(ISNUMBER(J124),"In Transit","In Production"))))</f>
        <v>Completed</v>
      </c>
      <c r="AL124" s="18" t="n">
        <f aca="false">IF(AND(N124="Pending",OR(AND(Y124=0,I124&lt;AsOf),AND(Y124=1,L124&lt;AsOf))),1,0)</f>
        <v>0</v>
      </c>
      <c r="AM124" s="14" t="str">
        <f aca="false">IF(AL124=1,IF(Y124=0,AsOf-I124,AsOf-L124),"")</f>
        <v/>
      </c>
      <c r="AN124" s="14" t="str">
        <f aca="false">IF(AL124=1,IF(Y124=0,"Delivery","Installation"),"")</f>
        <v/>
      </c>
      <c r="AO124" s="14" t="n">
        <f aca="false">IF(AND(OR(fCat="All",F124=fCat),OR(fCust="All",D124=fCust),OR(fReg="All",E124=fReg)),1,0)</f>
        <v>1</v>
      </c>
      <c r="AP124" s="14" t="n">
        <f aca="false">IF(AND(AL124=1,AO124=1),AM124+ROW()/100000,0)</f>
        <v>0</v>
      </c>
    </row>
    <row r="125" customFormat="false" ht="15" hidden="false" customHeight="false" outlineLevel="0" collapsed="false">
      <c r="A125" s="14" t="s">
        <v>597</v>
      </c>
      <c r="B125" s="15" t="n">
        <v>46168</v>
      </c>
      <c r="C125" s="14" t="s">
        <v>598</v>
      </c>
      <c r="D125" s="14" t="s">
        <v>90</v>
      </c>
      <c r="E125" s="14" t="s">
        <v>66</v>
      </c>
      <c r="F125" s="14" t="s">
        <v>121</v>
      </c>
      <c r="G125" s="14" t="n">
        <v>1</v>
      </c>
      <c r="H125" s="16" t="n">
        <v>1239000</v>
      </c>
      <c r="I125" s="15" t="n">
        <v>46202</v>
      </c>
      <c r="J125" s="15"/>
      <c r="K125" s="15"/>
      <c r="L125" s="15" t="n">
        <v>46207</v>
      </c>
      <c r="M125" s="15"/>
      <c r="N125" s="14" t="s">
        <v>328</v>
      </c>
      <c r="O125" s="14" t="s">
        <v>84</v>
      </c>
      <c r="P125" s="14"/>
      <c r="Q125" s="14"/>
      <c r="R125" s="14" t="s">
        <v>226</v>
      </c>
      <c r="S125" s="14" t="s">
        <v>745</v>
      </c>
      <c r="T125" s="14" t="n">
        <v>1</v>
      </c>
      <c r="U125" s="14" t="n">
        <v>1</v>
      </c>
      <c r="V125" s="14" t="n">
        <v>1</v>
      </c>
      <c r="W125" s="17" t="n">
        <f aca="false">DATE(YEAR(B125),MONTH(B125),1)</f>
        <v>46143</v>
      </c>
      <c r="X125" s="14" t="n">
        <f aca="false">IF(AND(N125&lt;&gt;"Cancelled",I125&lt;=AsOf),1,0)</f>
        <v>1</v>
      </c>
      <c r="Y125" s="14" t="n">
        <f aca="false">IF(AND(N125&lt;&gt;"Cancelled",OR(ISNUMBER(K125),N125="Completed")),1,0)</f>
        <v>0</v>
      </c>
      <c r="Z125" s="14" t="str">
        <f aca="false">IF(AND(Y125=1,U125=1,ISNUMBER(K125)),K125-I125,"")</f>
        <v/>
      </c>
      <c r="AA125" s="14" t="str">
        <f aca="false">IF(Z125="","",IF(Z125&lt;0,"Early",IF(Z125=0,"On Time","Late")))</f>
        <v/>
      </c>
      <c r="AB125" s="14" t="n">
        <f aca="false">IF(AND(N125&lt;&gt;"Cancelled",L125&lt;=AsOf),1,0)</f>
        <v>0</v>
      </c>
      <c r="AC125" s="14" t="n">
        <f aca="false">IF(AND(N125&lt;&gt;"Cancelled",OR(ISNUMBER(M125),N125="Completed")),1,0)</f>
        <v>0</v>
      </c>
      <c r="AD125" s="14" t="str">
        <f aca="false">IF(AND(AC125=1,V125=1,ISNUMBER(M125)),M125-L125,"")</f>
        <v/>
      </c>
      <c r="AE125" s="14" t="str">
        <f aca="false">IF(AD125="","",IF(AD125&lt;0,"Early",IF(AD125=0,"On Time","Late")))</f>
        <v/>
      </c>
      <c r="AF125" s="14" t="str">
        <f aca="false">IF(AND(T125=1,ISNUMBER(J125),N125&lt;&gt;"Cancelled"),J125-B125,"")</f>
        <v/>
      </c>
      <c r="AG125" s="14" t="str">
        <f aca="false">IF(AND(AF125&lt;&gt;"",Z125&lt;&gt;""),K125-J125,"")</f>
        <v/>
      </c>
      <c r="AH125" s="14" t="str">
        <f aca="false">IF(AND(Z125&lt;&gt;"",AD125&lt;&gt;""),M125-K125,"")</f>
        <v/>
      </c>
      <c r="AI125" s="14" t="str">
        <f aca="false">IF(Z125&lt;&gt;"",K125-B125,"")</f>
        <v/>
      </c>
      <c r="AJ125" s="14" t="str">
        <f aca="false">IF(AND(N125="Completed",AD125&lt;&gt;""),M125-B125,"")</f>
        <v/>
      </c>
      <c r="AK125" s="14" t="str">
        <f aca="false">IF(N125="Cancelled","Cancelled",IF(N125="Completed","Completed",IF(Y125=1,"Awaiting Installation",IF(ISNUMBER(J125),"In Transit","In Production"))))</f>
        <v>In Production</v>
      </c>
      <c r="AL125" s="18" t="n">
        <f aca="false">IF(AND(N125="Pending",OR(AND(Y125=0,I125&lt;AsOf),AND(Y125=1,L125&lt;AsOf))),1,0)</f>
        <v>1</v>
      </c>
      <c r="AM125" s="14" t="n">
        <f aca="false">IF(AL125=1,IF(Y125=0,AsOf-I125,AsOf-L125),"")</f>
        <v>1</v>
      </c>
      <c r="AN125" s="14" t="str">
        <f aca="false">IF(AL125=1,IF(Y125=0,"Delivery","Installation"),"")</f>
        <v>Delivery</v>
      </c>
      <c r="AO125" s="14" t="n">
        <f aca="false">IF(AND(OR(fCat="All",F125=fCat),OR(fCust="All",D125=fCust),OR(fReg="All",E125=fReg)),1,0)</f>
        <v>1</v>
      </c>
      <c r="AP125" s="14" t="n">
        <f aca="false">IF(AND(AL125=1,AO125=1),AM125+ROW()/100000,0)</f>
        <v>1.00125</v>
      </c>
    </row>
    <row r="126" customFormat="false" ht="15" hidden="false" customHeight="false" outlineLevel="0" collapsed="false">
      <c r="A126" s="14" t="s">
        <v>601</v>
      </c>
      <c r="B126" s="15" t="n">
        <v>46169</v>
      </c>
      <c r="C126" s="14" t="s">
        <v>296</v>
      </c>
      <c r="D126" s="14" t="s">
        <v>149</v>
      </c>
      <c r="E126" s="14" t="s">
        <v>102</v>
      </c>
      <c r="F126" s="14" t="s">
        <v>160</v>
      </c>
      <c r="G126" s="14" t="n">
        <v>1</v>
      </c>
      <c r="H126" s="16" t="n">
        <v>153000</v>
      </c>
      <c r="I126" s="15" t="n">
        <v>46181</v>
      </c>
      <c r="J126" s="15" t="n">
        <v>46174</v>
      </c>
      <c r="K126" s="15" t="n">
        <v>46178</v>
      </c>
      <c r="L126" s="15" t="n">
        <v>46184</v>
      </c>
      <c r="M126" s="15" t="n">
        <v>46179</v>
      </c>
      <c r="N126" s="14" t="s">
        <v>75</v>
      </c>
      <c r="O126" s="14"/>
      <c r="P126" s="14"/>
      <c r="Q126" s="14"/>
      <c r="R126" s="14" t="s">
        <v>134</v>
      </c>
      <c r="S126" s="14" t="s">
        <v>745</v>
      </c>
      <c r="T126" s="14" t="n">
        <v>1</v>
      </c>
      <c r="U126" s="14" t="n">
        <v>1</v>
      </c>
      <c r="V126" s="14" t="n">
        <v>1</v>
      </c>
      <c r="W126" s="17" t="n">
        <f aca="false">DATE(YEAR(B126),MONTH(B126),1)</f>
        <v>46143</v>
      </c>
      <c r="X126" s="14" t="n">
        <f aca="false">IF(AND(N126&lt;&gt;"Cancelled",I126&lt;=AsOf),1,0)</f>
        <v>1</v>
      </c>
      <c r="Y126" s="14" t="n">
        <f aca="false">IF(AND(N126&lt;&gt;"Cancelled",OR(ISNUMBER(K126),N126="Completed")),1,0)</f>
        <v>1</v>
      </c>
      <c r="Z126" s="14" t="n">
        <f aca="false">IF(AND(Y126=1,U126=1,ISNUMBER(K126)),K126-I126,"")</f>
        <v>-3</v>
      </c>
      <c r="AA126" s="14" t="str">
        <f aca="false">IF(Z126="","",IF(Z126&lt;0,"Early",IF(Z126=0,"On Time","Late")))</f>
        <v>Early</v>
      </c>
      <c r="AB126" s="14" t="n">
        <f aca="false">IF(AND(N126&lt;&gt;"Cancelled",L126&lt;=AsOf),1,0)</f>
        <v>1</v>
      </c>
      <c r="AC126" s="14" t="n">
        <f aca="false">IF(AND(N126&lt;&gt;"Cancelled",OR(ISNUMBER(M126),N126="Completed")),1,0)</f>
        <v>1</v>
      </c>
      <c r="AD126" s="14" t="n">
        <f aca="false">IF(AND(AC126=1,V126=1,ISNUMBER(M126)),M126-L126,"")</f>
        <v>-5</v>
      </c>
      <c r="AE126" s="14" t="str">
        <f aca="false">IF(AD126="","",IF(AD126&lt;0,"Early",IF(AD126=0,"On Time","Late")))</f>
        <v>Early</v>
      </c>
      <c r="AF126" s="14" t="n">
        <f aca="false">IF(AND(T126=1,ISNUMBER(J126),N126&lt;&gt;"Cancelled"),J126-B126,"")</f>
        <v>5</v>
      </c>
      <c r="AG126" s="14" t="n">
        <f aca="false">IF(AND(AF126&lt;&gt;"",Z126&lt;&gt;""),K126-J126,"")</f>
        <v>4</v>
      </c>
      <c r="AH126" s="14" t="n">
        <f aca="false">IF(AND(Z126&lt;&gt;"",AD126&lt;&gt;""),M126-K126,"")</f>
        <v>1</v>
      </c>
      <c r="AI126" s="14" t="n">
        <f aca="false">IF(Z126&lt;&gt;"",K126-B126,"")</f>
        <v>9</v>
      </c>
      <c r="AJ126" s="14" t="n">
        <f aca="false">IF(AND(N126="Completed",AD126&lt;&gt;""),M126-B126,"")</f>
        <v>10</v>
      </c>
      <c r="AK126" s="14" t="str">
        <f aca="false">IF(N126="Cancelled","Cancelled",IF(N126="Completed","Completed",IF(Y126=1,"Awaiting Installation",IF(ISNUMBER(J126),"In Transit","In Production"))))</f>
        <v>Completed</v>
      </c>
      <c r="AL126" s="18" t="n">
        <f aca="false">IF(AND(N126="Pending",OR(AND(Y126=0,I126&lt;AsOf),AND(Y126=1,L126&lt;AsOf))),1,0)</f>
        <v>0</v>
      </c>
      <c r="AM126" s="14" t="str">
        <f aca="false">IF(AL126=1,IF(Y126=0,AsOf-I126,AsOf-L126),"")</f>
        <v/>
      </c>
      <c r="AN126" s="14" t="str">
        <f aca="false">IF(AL126=1,IF(Y126=0,"Delivery","Installation"),"")</f>
        <v/>
      </c>
      <c r="AO126" s="14" t="n">
        <f aca="false">IF(AND(OR(fCat="All",F126=fCat),OR(fCust="All",D126=fCust),OR(fReg="All",E126=fReg)),1,0)</f>
        <v>1</v>
      </c>
      <c r="AP126" s="14" t="n">
        <f aca="false">IF(AND(AL126=1,AO126=1),AM126+ROW()/100000,0)</f>
        <v>0</v>
      </c>
    </row>
    <row r="127" customFormat="false" ht="15" hidden="false" customHeight="false" outlineLevel="0" collapsed="false">
      <c r="A127" s="14" t="s">
        <v>602</v>
      </c>
      <c r="B127" s="15" t="n">
        <v>46170</v>
      </c>
      <c r="C127" s="14" t="s">
        <v>603</v>
      </c>
      <c r="D127" s="14" t="s">
        <v>90</v>
      </c>
      <c r="E127" s="14" t="s">
        <v>91</v>
      </c>
      <c r="F127" s="14" t="s">
        <v>160</v>
      </c>
      <c r="G127" s="14" t="n">
        <v>1</v>
      </c>
      <c r="H127" s="16" t="n">
        <v>212000</v>
      </c>
      <c r="I127" s="15" t="n">
        <v>46180</v>
      </c>
      <c r="J127" s="15" t="n">
        <v>46176</v>
      </c>
      <c r="K127" s="15" t="n">
        <v>46178</v>
      </c>
      <c r="L127" s="15" t="n">
        <v>46183</v>
      </c>
      <c r="M127" s="15" t="n">
        <v>46181</v>
      </c>
      <c r="N127" s="14" t="s">
        <v>75</v>
      </c>
      <c r="O127" s="14"/>
      <c r="P127" s="14"/>
      <c r="Q127" s="14"/>
      <c r="R127" s="14" t="s">
        <v>98</v>
      </c>
      <c r="S127" s="14" t="s">
        <v>745</v>
      </c>
      <c r="T127" s="14" t="n">
        <v>1</v>
      </c>
      <c r="U127" s="14" t="n">
        <v>1</v>
      </c>
      <c r="V127" s="14" t="n">
        <v>1</v>
      </c>
      <c r="W127" s="17" t="n">
        <f aca="false">DATE(YEAR(B127),MONTH(B127),1)</f>
        <v>46143</v>
      </c>
      <c r="X127" s="14" t="n">
        <f aca="false">IF(AND(N127&lt;&gt;"Cancelled",I127&lt;=AsOf),1,0)</f>
        <v>1</v>
      </c>
      <c r="Y127" s="14" t="n">
        <f aca="false">IF(AND(N127&lt;&gt;"Cancelled",OR(ISNUMBER(K127),N127="Completed")),1,0)</f>
        <v>1</v>
      </c>
      <c r="Z127" s="14" t="n">
        <f aca="false">IF(AND(Y127=1,U127=1,ISNUMBER(K127)),K127-I127,"")</f>
        <v>-2</v>
      </c>
      <c r="AA127" s="14" t="str">
        <f aca="false">IF(Z127="","",IF(Z127&lt;0,"Early",IF(Z127=0,"On Time","Late")))</f>
        <v>Early</v>
      </c>
      <c r="AB127" s="14" t="n">
        <f aca="false">IF(AND(N127&lt;&gt;"Cancelled",L127&lt;=AsOf),1,0)</f>
        <v>1</v>
      </c>
      <c r="AC127" s="14" t="n">
        <f aca="false">IF(AND(N127&lt;&gt;"Cancelled",OR(ISNUMBER(M127),N127="Completed")),1,0)</f>
        <v>1</v>
      </c>
      <c r="AD127" s="14" t="n">
        <f aca="false">IF(AND(AC127=1,V127=1,ISNUMBER(M127)),M127-L127,"")</f>
        <v>-2</v>
      </c>
      <c r="AE127" s="14" t="str">
        <f aca="false">IF(AD127="","",IF(AD127&lt;0,"Early",IF(AD127=0,"On Time","Late")))</f>
        <v>Early</v>
      </c>
      <c r="AF127" s="14" t="n">
        <f aca="false">IF(AND(T127=1,ISNUMBER(J127),N127&lt;&gt;"Cancelled"),J127-B127,"")</f>
        <v>6</v>
      </c>
      <c r="AG127" s="14" t="n">
        <f aca="false">IF(AND(AF127&lt;&gt;"",Z127&lt;&gt;""),K127-J127,"")</f>
        <v>2</v>
      </c>
      <c r="AH127" s="14" t="n">
        <f aca="false">IF(AND(Z127&lt;&gt;"",AD127&lt;&gt;""),M127-K127,"")</f>
        <v>3</v>
      </c>
      <c r="AI127" s="14" t="n">
        <f aca="false">IF(Z127&lt;&gt;"",K127-B127,"")</f>
        <v>8</v>
      </c>
      <c r="AJ127" s="14" t="n">
        <f aca="false">IF(AND(N127="Completed",AD127&lt;&gt;""),M127-B127,"")</f>
        <v>11</v>
      </c>
      <c r="AK127" s="14" t="str">
        <f aca="false">IF(N127="Cancelled","Cancelled",IF(N127="Completed","Completed",IF(Y127=1,"Awaiting Installation",IF(ISNUMBER(J127),"In Transit","In Production"))))</f>
        <v>Completed</v>
      </c>
      <c r="AL127" s="18" t="n">
        <f aca="false">IF(AND(N127="Pending",OR(AND(Y127=0,I127&lt;AsOf),AND(Y127=1,L127&lt;AsOf))),1,0)</f>
        <v>0</v>
      </c>
      <c r="AM127" s="14" t="str">
        <f aca="false">IF(AL127=1,IF(Y127=0,AsOf-I127,AsOf-L127),"")</f>
        <v/>
      </c>
      <c r="AN127" s="14" t="str">
        <f aca="false">IF(AL127=1,IF(Y127=0,"Delivery","Installation"),"")</f>
        <v/>
      </c>
      <c r="AO127" s="14" t="n">
        <f aca="false">IF(AND(OR(fCat="All",F127=fCat),OR(fCust="All",D127=fCust),OR(fReg="All",E127=fReg)),1,0)</f>
        <v>1</v>
      </c>
      <c r="AP127" s="14" t="n">
        <f aca="false">IF(AND(AL127=1,AO127=1),AM127+ROW()/100000,0)</f>
        <v>0</v>
      </c>
    </row>
    <row r="128" customFormat="false" ht="15" hidden="false" customHeight="false" outlineLevel="0" collapsed="false">
      <c r="A128" s="14" t="s">
        <v>605</v>
      </c>
      <c r="B128" s="15" t="n">
        <v>46170</v>
      </c>
      <c r="C128" s="14" t="s">
        <v>474</v>
      </c>
      <c r="D128" s="14" t="s">
        <v>65</v>
      </c>
      <c r="E128" s="14" t="s">
        <v>66</v>
      </c>
      <c r="F128" s="14" t="s">
        <v>160</v>
      </c>
      <c r="G128" s="14" t="n">
        <v>1</v>
      </c>
      <c r="H128" s="16" t="n">
        <v>220000</v>
      </c>
      <c r="I128" s="15" t="n">
        <v>46184</v>
      </c>
      <c r="J128" s="15" t="n">
        <v>46174</v>
      </c>
      <c r="K128" s="15" t="n">
        <v>46181</v>
      </c>
      <c r="L128" s="15" t="n">
        <v>46187</v>
      </c>
      <c r="M128" s="15" t="n">
        <v>46183</v>
      </c>
      <c r="N128" s="14" t="s">
        <v>75</v>
      </c>
      <c r="O128" s="14"/>
      <c r="P128" s="14"/>
      <c r="Q128" s="14"/>
      <c r="R128" s="14" t="s">
        <v>226</v>
      </c>
      <c r="S128" s="14" t="s">
        <v>745</v>
      </c>
      <c r="T128" s="14" t="n">
        <v>1</v>
      </c>
      <c r="U128" s="14" t="n">
        <v>1</v>
      </c>
      <c r="V128" s="14" t="n">
        <v>1</v>
      </c>
      <c r="W128" s="17" t="n">
        <f aca="false">DATE(YEAR(B128),MONTH(B128),1)</f>
        <v>46143</v>
      </c>
      <c r="X128" s="14" t="n">
        <f aca="false">IF(AND(N128&lt;&gt;"Cancelled",I128&lt;=AsOf),1,0)</f>
        <v>1</v>
      </c>
      <c r="Y128" s="14" t="n">
        <f aca="false">IF(AND(N128&lt;&gt;"Cancelled",OR(ISNUMBER(K128),N128="Completed")),1,0)</f>
        <v>1</v>
      </c>
      <c r="Z128" s="14" t="n">
        <f aca="false">IF(AND(Y128=1,U128=1,ISNUMBER(K128)),K128-I128,"")</f>
        <v>-3</v>
      </c>
      <c r="AA128" s="14" t="str">
        <f aca="false">IF(Z128="","",IF(Z128&lt;0,"Early",IF(Z128=0,"On Time","Late")))</f>
        <v>Early</v>
      </c>
      <c r="AB128" s="14" t="n">
        <f aca="false">IF(AND(N128&lt;&gt;"Cancelled",L128&lt;=AsOf),1,0)</f>
        <v>1</v>
      </c>
      <c r="AC128" s="14" t="n">
        <f aca="false">IF(AND(N128&lt;&gt;"Cancelled",OR(ISNUMBER(M128),N128="Completed")),1,0)</f>
        <v>1</v>
      </c>
      <c r="AD128" s="14" t="n">
        <f aca="false">IF(AND(AC128=1,V128=1,ISNUMBER(M128)),M128-L128,"")</f>
        <v>-4</v>
      </c>
      <c r="AE128" s="14" t="str">
        <f aca="false">IF(AD128="","",IF(AD128&lt;0,"Early",IF(AD128=0,"On Time","Late")))</f>
        <v>Early</v>
      </c>
      <c r="AF128" s="14" t="n">
        <f aca="false">IF(AND(T128=1,ISNUMBER(J128),N128&lt;&gt;"Cancelled"),J128-B128,"")</f>
        <v>4</v>
      </c>
      <c r="AG128" s="14" t="n">
        <f aca="false">IF(AND(AF128&lt;&gt;"",Z128&lt;&gt;""),K128-J128,"")</f>
        <v>7</v>
      </c>
      <c r="AH128" s="14" t="n">
        <f aca="false">IF(AND(Z128&lt;&gt;"",AD128&lt;&gt;""),M128-K128,"")</f>
        <v>2</v>
      </c>
      <c r="AI128" s="14" t="n">
        <f aca="false">IF(Z128&lt;&gt;"",K128-B128,"")</f>
        <v>11</v>
      </c>
      <c r="AJ128" s="14" t="n">
        <f aca="false">IF(AND(N128="Completed",AD128&lt;&gt;""),M128-B128,"")</f>
        <v>13</v>
      </c>
      <c r="AK128" s="14" t="str">
        <f aca="false">IF(N128="Cancelled","Cancelled",IF(N128="Completed","Completed",IF(Y128=1,"Awaiting Installation",IF(ISNUMBER(J128),"In Transit","In Production"))))</f>
        <v>Completed</v>
      </c>
      <c r="AL128" s="18" t="n">
        <f aca="false">IF(AND(N128="Pending",OR(AND(Y128=0,I128&lt;AsOf),AND(Y128=1,L128&lt;AsOf))),1,0)</f>
        <v>0</v>
      </c>
      <c r="AM128" s="14" t="str">
        <f aca="false">IF(AL128=1,IF(Y128=0,AsOf-I128,AsOf-L128),"")</f>
        <v/>
      </c>
      <c r="AN128" s="14" t="str">
        <f aca="false">IF(AL128=1,IF(Y128=0,"Delivery","Installation"),"")</f>
        <v/>
      </c>
      <c r="AO128" s="14" t="n">
        <f aca="false">IF(AND(OR(fCat="All",F128=fCat),OR(fCust="All",D128=fCust),OR(fReg="All",E128=fReg)),1,0)</f>
        <v>1</v>
      </c>
      <c r="AP128" s="14" t="n">
        <f aca="false">IF(AND(AL128=1,AO128=1),AM128+ROW()/100000,0)</f>
        <v>0</v>
      </c>
    </row>
    <row r="129" customFormat="false" ht="15" hidden="false" customHeight="false" outlineLevel="0" collapsed="false">
      <c r="A129" s="14" t="s">
        <v>607</v>
      </c>
      <c r="B129" s="15" t="n">
        <v>46173</v>
      </c>
      <c r="C129" s="14" t="s">
        <v>89</v>
      </c>
      <c r="D129" s="14" t="s">
        <v>90</v>
      </c>
      <c r="E129" s="14" t="s">
        <v>102</v>
      </c>
      <c r="F129" s="14" t="s">
        <v>103</v>
      </c>
      <c r="G129" s="14" t="n">
        <v>2</v>
      </c>
      <c r="H129" s="16" t="n">
        <v>682000</v>
      </c>
      <c r="I129" s="15" t="n">
        <v>46196</v>
      </c>
      <c r="J129" s="15" t="n">
        <v>46184</v>
      </c>
      <c r="K129" s="15" t="n">
        <v>46186</v>
      </c>
      <c r="L129" s="15" t="n">
        <v>46201</v>
      </c>
      <c r="M129" s="15"/>
      <c r="N129" s="14" t="s">
        <v>75</v>
      </c>
      <c r="O129" s="14"/>
      <c r="P129" s="14"/>
      <c r="Q129" s="14"/>
      <c r="R129" s="14"/>
      <c r="S129" s="14" t="s">
        <v>754</v>
      </c>
      <c r="T129" s="14" t="n">
        <v>1</v>
      </c>
      <c r="U129" s="14" t="n">
        <v>1</v>
      </c>
      <c r="V129" s="14" t="n">
        <v>0</v>
      </c>
      <c r="W129" s="17" t="n">
        <f aca="false">DATE(YEAR(B129),MONTH(B129),1)</f>
        <v>46143</v>
      </c>
      <c r="X129" s="14" t="n">
        <f aca="false">IF(AND(N129&lt;&gt;"Cancelled",I129&lt;=AsOf),1,0)</f>
        <v>1</v>
      </c>
      <c r="Y129" s="14" t="n">
        <f aca="false">IF(AND(N129&lt;&gt;"Cancelled",OR(ISNUMBER(K129),N129="Completed")),1,0)</f>
        <v>1</v>
      </c>
      <c r="Z129" s="14" t="n">
        <f aca="false">IF(AND(Y129=1,U129=1,ISNUMBER(K129)),K129-I129,"")</f>
        <v>-10</v>
      </c>
      <c r="AA129" s="14" t="str">
        <f aca="false">IF(Z129="","",IF(Z129&lt;0,"Early",IF(Z129=0,"On Time","Late")))</f>
        <v>Early</v>
      </c>
      <c r="AB129" s="14" t="n">
        <f aca="false">IF(AND(N129&lt;&gt;"Cancelled",L129&lt;=AsOf),1,0)</f>
        <v>1</v>
      </c>
      <c r="AC129" s="14" t="n">
        <f aca="false">IF(AND(N129&lt;&gt;"Cancelled",OR(ISNUMBER(M129),N129="Completed")),1,0)</f>
        <v>1</v>
      </c>
      <c r="AD129" s="14" t="str">
        <f aca="false">IF(AND(AC129=1,V129=1,ISNUMBER(M129)),M129-L129,"")</f>
        <v/>
      </c>
      <c r="AE129" s="14" t="str">
        <f aca="false">IF(AD129="","",IF(AD129&lt;0,"Early",IF(AD129=0,"On Time","Late")))</f>
        <v/>
      </c>
      <c r="AF129" s="14" t="n">
        <f aca="false">IF(AND(T129=1,ISNUMBER(J129),N129&lt;&gt;"Cancelled"),J129-B129,"")</f>
        <v>11</v>
      </c>
      <c r="AG129" s="14" t="n">
        <f aca="false">IF(AND(AF129&lt;&gt;"",Z129&lt;&gt;""),K129-J129,"")</f>
        <v>2</v>
      </c>
      <c r="AH129" s="14" t="str">
        <f aca="false">IF(AND(Z129&lt;&gt;"",AD129&lt;&gt;""),M129-K129,"")</f>
        <v/>
      </c>
      <c r="AI129" s="14" t="n">
        <f aca="false">IF(Z129&lt;&gt;"",K129-B129,"")</f>
        <v>13</v>
      </c>
      <c r="AJ129" s="14" t="str">
        <f aca="false">IF(AND(N129="Completed",AD129&lt;&gt;""),M129-B129,"")</f>
        <v/>
      </c>
      <c r="AK129" s="14" t="str">
        <f aca="false">IF(N129="Cancelled","Cancelled",IF(N129="Completed","Completed",IF(Y129=1,"Awaiting Installation",IF(ISNUMBER(J129),"In Transit","In Production"))))</f>
        <v>Completed</v>
      </c>
      <c r="AL129" s="18" t="n">
        <f aca="false">IF(AND(N129="Pending",OR(AND(Y129=0,I129&lt;AsOf),AND(Y129=1,L129&lt;AsOf))),1,0)</f>
        <v>0</v>
      </c>
      <c r="AM129" s="14" t="str">
        <f aca="false">IF(AL129=1,IF(Y129=0,AsOf-I129,AsOf-L129),"")</f>
        <v/>
      </c>
      <c r="AN129" s="14" t="str">
        <f aca="false">IF(AL129=1,IF(Y129=0,"Delivery","Installation"),"")</f>
        <v/>
      </c>
      <c r="AO129" s="14" t="n">
        <f aca="false">IF(AND(OR(fCat="All",F129=fCat),OR(fCust="All",D129=fCust),OR(fReg="All",E129=fReg)),1,0)</f>
        <v>1</v>
      </c>
      <c r="AP129" s="14" t="n">
        <f aca="false">IF(AND(AL129=1,AO129=1),AM129+ROW()/100000,0)</f>
        <v>0</v>
      </c>
    </row>
    <row r="130" customFormat="false" ht="15" hidden="false" customHeight="false" outlineLevel="0" collapsed="false">
      <c r="A130" s="14" t="s">
        <v>609</v>
      </c>
      <c r="B130" s="15" t="n">
        <v>46175</v>
      </c>
      <c r="C130" s="14" t="s">
        <v>610</v>
      </c>
      <c r="D130" s="14" t="s">
        <v>90</v>
      </c>
      <c r="E130" s="14" t="s">
        <v>91</v>
      </c>
      <c r="F130" s="14" t="s">
        <v>121</v>
      </c>
      <c r="G130" s="14" t="n">
        <v>1</v>
      </c>
      <c r="H130" s="16" t="n">
        <v>844000</v>
      </c>
      <c r="I130" s="15" t="n">
        <v>46205</v>
      </c>
      <c r="J130" s="15"/>
      <c r="K130" s="15"/>
      <c r="L130" s="15" t="n">
        <v>46210</v>
      </c>
      <c r="M130" s="15"/>
      <c r="N130" s="14" t="s">
        <v>328</v>
      </c>
      <c r="O130" s="14"/>
      <c r="P130" s="14"/>
      <c r="Q130" s="14"/>
      <c r="R130" s="14" t="s">
        <v>168</v>
      </c>
      <c r="S130" s="14" t="s">
        <v>745</v>
      </c>
      <c r="T130" s="14" t="n">
        <v>1</v>
      </c>
      <c r="U130" s="14" t="n">
        <v>1</v>
      </c>
      <c r="V130" s="14" t="n">
        <v>1</v>
      </c>
      <c r="W130" s="17" t="n">
        <f aca="false">DATE(YEAR(B130),MONTH(B130),1)</f>
        <v>46174</v>
      </c>
      <c r="X130" s="14" t="n">
        <f aca="false">IF(AND(N130&lt;&gt;"Cancelled",I130&lt;=AsOf),1,0)</f>
        <v>0</v>
      </c>
      <c r="Y130" s="14" t="n">
        <f aca="false">IF(AND(N130&lt;&gt;"Cancelled",OR(ISNUMBER(K130),N130="Completed")),1,0)</f>
        <v>0</v>
      </c>
      <c r="Z130" s="14" t="str">
        <f aca="false">IF(AND(Y130=1,U130=1,ISNUMBER(K130)),K130-I130,"")</f>
        <v/>
      </c>
      <c r="AA130" s="14" t="str">
        <f aca="false">IF(Z130="","",IF(Z130&lt;0,"Early",IF(Z130=0,"On Time","Late")))</f>
        <v/>
      </c>
      <c r="AB130" s="14" t="n">
        <f aca="false">IF(AND(N130&lt;&gt;"Cancelled",L130&lt;=AsOf),1,0)</f>
        <v>0</v>
      </c>
      <c r="AC130" s="14" t="n">
        <f aca="false">IF(AND(N130&lt;&gt;"Cancelled",OR(ISNUMBER(M130),N130="Completed")),1,0)</f>
        <v>0</v>
      </c>
      <c r="AD130" s="14" t="str">
        <f aca="false">IF(AND(AC130=1,V130=1,ISNUMBER(M130)),M130-L130,"")</f>
        <v/>
      </c>
      <c r="AE130" s="14" t="str">
        <f aca="false">IF(AD130="","",IF(AD130&lt;0,"Early",IF(AD130=0,"On Time","Late")))</f>
        <v/>
      </c>
      <c r="AF130" s="14" t="str">
        <f aca="false">IF(AND(T130=1,ISNUMBER(J130),N130&lt;&gt;"Cancelled"),J130-B130,"")</f>
        <v/>
      </c>
      <c r="AG130" s="14" t="str">
        <f aca="false">IF(AND(AF130&lt;&gt;"",Z130&lt;&gt;""),K130-J130,"")</f>
        <v/>
      </c>
      <c r="AH130" s="14" t="str">
        <f aca="false">IF(AND(Z130&lt;&gt;"",AD130&lt;&gt;""),M130-K130,"")</f>
        <v/>
      </c>
      <c r="AI130" s="14" t="str">
        <f aca="false">IF(Z130&lt;&gt;"",K130-B130,"")</f>
        <v/>
      </c>
      <c r="AJ130" s="14" t="str">
        <f aca="false">IF(AND(N130="Completed",AD130&lt;&gt;""),M130-B130,"")</f>
        <v/>
      </c>
      <c r="AK130" s="14" t="str">
        <f aca="false">IF(N130="Cancelled","Cancelled",IF(N130="Completed","Completed",IF(Y130=1,"Awaiting Installation",IF(ISNUMBER(J130),"In Transit","In Production"))))</f>
        <v>In Production</v>
      </c>
      <c r="AL130" s="18" t="n">
        <f aca="false">IF(AND(N130="Pending",OR(AND(Y130=0,I130&lt;AsOf),AND(Y130=1,L130&lt;AsOf))),1,0)</f>
        <v>0</v>
      </c>
      <c r="AM130" s="14" t="str">
        <f aca="false">IF(AL130=1,IF(Y130=0,AsOf-I130,AsOf-L130),"")</f>
        <v/>
      </c>
      <c r="AN130" s="14" t="str">
        <f aca="false">IF(AL130=1,IF(Y130=0,"Delivery","Installation"),"")</f>
        <v/>
      </c>
      <c r="AO130" s="14" t="n">
        <f aca="false">IF(AND(OR(fCat="All",F130=fCat),OR(fCust="All",D130=fCust),OR(fReg="All",E130=fReg)),1,0)</f>
        <v>1</v>
      </c>
      <c r="AP130" s="14" t="n">
        <f aca="false">IF(AND(AL130=1,AO130=1),AM130+ROW()/100000,0)</f>
        <v>0</v>
      </c>
    </row>
    <row r="131" customFormat="false" ht="15" hidden="false" customHeight="false" outlineLevel="0" collapsed="false">
      <c r="A131" s="14" t="s">
        <v>614</v>
      </c>
      <c r="B131" s="15" t="n">
        <v>46176</v>
      </c>
      <c r="C131" s="14" t="s">
        <v>268</v>
      </c>
      <c r="D131" s="14" t="s">
        <v>90</v>
      </c>
      <c r="E131" s="14" t="s">
        <v>102</v>
      </c>
      <c r="F131" s="14" t="s">
        <v>150</v>
      </c>
      <c r="G131" s="14" t="n">
        <v>1</v>
      </c>
      <c r="H131" s="16" t="n">
        <v>245000</v>
      </c>
      <c r="I131" s="15" t="n">
        <v>46192</v>
      </c>
      <c r="J131" s="15" t="n">
        <v>46179</v>
      </c>
      <c r="K131" s="15" t="n">
        <v>46181</v>
      </c>
      <c r="L131" s="15" t="n">
        <v>46195</v>
      </c>
      <c r="M131" s="15" t="n">
        <v>46184</v>
      </c>
      <c r="N131" s="14" t="s">
        <v>75</v>
      </c>
      <c r="O131" s="14"/>
      <c r="P131" s="14"/>
      <c r="Q131" s="14"/>
      <c r="R131" s="14" t="s">
        <v>134</v>
      </c>
      <c r="S131" s="14" t="s">
        <v>745</v>
      </c>
      <c r="T131" s="14" t="n">
        <v>1</v>
      </c>
      <c r="U131" s="14" t="n">
        <v>1</v>
      </c>
      <c r="V131" s="14" t="n">
        <v>1</v>
      </c>
      <c r="W131" s="17" t="n">
        <f aca="false">DATE(YEAR(B131),MONTH(B131),1)</f>
        <v>46174</v>
      </c>
      <c r="X131" s="14" t="n">
        <f aca="false">IF(AND(N131&lt;&gt;"Cancelled",I131&lt;=AsOf),1,0)</f>
        <v>1</v>
      </c>
      <c r="Y131" s="14" t="n">
        <f aca="false">IF(AND(N131&lt;&gt;"Cancelled",OR(ISNUMBER(K131),N131="Completed")),1,0)</f>
        <v>1</v>
      </c>
      <c r="Z131" s="14" t="n">
        <f aca="false">IF(AND(Y131=1,U131=1,ISNUMBER(K131)),K131-I131,"")</f>
        <v>-11</v>
      </c>
      <c r="AA131" s="14" t="str">
        <f aca="false">IF(Z131="","",IF(Z131&lt;0,"Early",IF(Z131=0,"On Time","Late")))</f>
        <v>Early</v>
      </c>
      <c r="AB131" s="14" t="n">
        <f aca="false">IF(AND(N131&lt;&gt;"Cancelled",L131&lt;=AsOf),1,0)</f>
        <v>1</v>
      </c>
      <c r="AC131" s="14" t="n">
        <f aca="false">IF(AND(N131&lt;&gt;"Cancelled",OR(ISNUMBER(M131),N131="Completed")),1,0)</f>
        <v>1</v>
      </c>
      <c r="AD131" s="14" t="n">
        <f aca="false">IF(AND(AC131=1,V131=1,ISNUMBER(M131)),M131-L131,"")</f>
        <v>-11</v>
      </c>
      <c r="AE131" s="14" t="str">
        <f aca="false">IF(AD131="","",IF(AD131&lt;0,"Early",IF(AD131=0,"On Time","Late")))</f>
        <v>Early</v>
      </c>
      <c r="AF131" s="14" t="n">
        <f aca="false">IF(AND(T131=1,ISNUMBER(J131),N131&lt;&gt;"Cancelled"),J131-B131,"")</f>
        <v>3</v>
      </c>
      <c r="AG131" s="14" t="n">
        <f aca="false">IF(AND(AF131&lt;&gt;"",Z131&lt;&gt;""),K131-J131,"")</f>
        <v>2</v>
      </c>
      <c r="AH131" s="14" t="n">
        <f aca="false">IF(AND(Z131&lt;&gt;"",AD131&lt;&gt;""),M131-K131,"")</f>
        <v>3</v>
      </c>
      <c r="AI131" s="14" t="n">
        <f aca="false">IF(Z131&lt;&gt;"",K131-B131,"")</f>
        <v>5</v>
      </c>
      <c r="AJ131" s="14" t="n">
        <f aca="false">IF(AND(N131="Completed",AD131&lt;&gt;""),M131-B131,"")</f>
        <v>8</v>
      </c>
      <c r="AK131" s="14" t="str">
        <f aca="false">IF(N131="Cancelled","Cancelled",IF(N131="Completed","Completed",IF(Y131=1,"Awaiting Installation",IF(ISNUMBER(J131),"In Transit","In Production"))))</f>
        <v>Completed</v>
      </c>
      <c r="AL131" s="18" t="n">
        <f aca="false">IF(AND(N131="Pending",OR(AND(Y131=0,I131&lt;AsOf),AND(Y131=1,L131&lt;AsOf))),1,0)</f>
        <v>0</v>
      </c>
      <c r="AM131" s="14" t="str">
        <f aca="false">IF(AL131=1,IF(Y131=0,AsOf-I131,AsOf-L131),"")</f>
        <v/>
      </c>
      <c r="AN131" s="14" t="str">
        <f aca="false">IF(AL131=1,IF(Y131=0,"Delivery","Installation"),"")</f>
        <v/>
      </c>
      <c r="AO131" s="14" t="n">
        <f aca="false">IF(AND(OR(fCat="All",F131=fCat),OR(fCust="All",D131=fCust),OR(fReg="All",E131=fReg)),1,0)</f>
        <v>1</v>
      </c>
      <c r="AP131" s="14" t="n">
        <f aca="false">IF(AND(AL131=1,AO131=1),AM131+ROW()/100000,0)</f>
        <v>0</v>
      </c>
    </row>
    <row r="132" customFormat="false" ht="15" hidden="false" customHeight="false" outlineLevel="0" collapsed="false">
      <c r="A132" s="14" t="s">
        <v>616</v>
      </c>
      <c r="B132" s="15" t="n">
        <v>46179</v>
      </c>
      <c r="C132" s="14" t="s">
        <v>346</v>
      </c>
      <c r="D132" s="14" t="s">
        <v>90</v>
      </c>
      <c r="E132" s="14" t="s">
        <v>91</v>
      </c>
      <c r="F132" s="14" t="s">
        <v>103</v>
      </c>
      <c r="G132" s="14" t="n">
        <v>2</v>
      </c>
      <c r="H132" s="16" t="n">
        <v>720000</v>
      </c>
      <c r="I132" s="15" t="n">
        <v>46200</v>
      </c>
      <c r="J132" s="15" t="n">
        <v>46200</v>
      </c>
      <c r="K132" s="15" t="n">
        <v>46201</v>
      </c>
      <c r="L132" s="15" t="n">
        <v>46205</v>
      </c>
      <c r="M132" s="15"/>
      <c r="N132" s="14" t="s">
        <v>328</v>
      </c>
      <c r="O132" s="14" t="s">
        <v>110</v>
      </c>
      <c r="P132" s="14"/>
      <c r="Q132" s="14"/>
      <c r="R132" s="14" t="s">
        <v>168</v>
      </c>
      <c r="S132" s="14" t="s">
        <v>745</v>
      </c>
      <c r="T132" s="14" t="n">
        <v>1</v>
      </c>
      <c r="U132" s="14" t="n">
        <v>1</v>
      </c>
      <c r="V132" s="14" t="n">
        <v>1</v>
      </c>
      <c r="W132" s="17" t="n">
        <f aca="false">DATE(YEAR(B132),MONTH(B132),1)</f>
        <v>46174</v>
      </c>
      <c r="X132" s="14" t="n">
        <f aca="false">IF(AND(N132&lt;&gt;"Cancelled",I132&lt;=AsOf),1,0)</f>
        <v>1</v>
      </c>
      <c r="Y132" s="14" t="n">
        <f aca="false">IF(AND(N132&lt;&gt;"Cancelled",OR(ISNUMBER(K132),N132="Completed")),1,0)</f>
        <v>1</v>
      </c>
      <c r="Z132" s="14" t="n">
        <f aca="false">IF(AND(Y132=1,U132=1,ISNUMBER(K132)),K132-I132,"")</f>
        <v>1</v>
      </c>
      <c r="AA132" s="14" t="str">
        <f aca="false">IF(Z132="","",IF(Z132&lt;0,"Early",IF(Z132=0,"On Time","Late")))</f>
        <v>Late</v>
      </c>
      <c r="AB132" s="14" t="n">
        <f aca="false">IF(AND(N132&lt;&gt;"Cancelled",L132&lt;=AsOf),1,0)</f>
        <v>0</v>
      </c>
      <c r="AC132" s="14" t="n">
        <f aca="false">IF(AND(N132&lt;&gt;"Cancelled",OR(ISNUMBER(M132),N132="Completed")),1,0)</f>
        <v>0</v>
      </c>
      <c r="AD132" s="14" t="str">
        <f aca="false">IF(AND(AC132=1,V132=1,ISNUMBER(M132)),M132-L132,"")</f>
        <v/>
      </c>
      <c r="AE132" s="14" t="str">
        <f aca="false">IF(AD132="","",IF(AD132&lt;0,"Early",IF(AD132=0,"On Time","Late")))</f>
        <v/>
      </c>
      <c r="AF132" s="14" t="n">
        <f aca="false">IF(AND(T132=1,ISNUMBER(J132),N132&lt;&gt;"Cancelled"),J132-B132,"")</f>
        <v>21</v>
      </c>
      <c r="AG132" s="14" t="n">
        <f aca="false">IF(AND(AF132&lt;&gt;"",Z132&lt;&gt;""),K132-J132,"")</f>
        <v>1</v>
      </c>
      <c r="AH132" s="14" t="str">
        <f aca="false">IF(AND(Z132&lt;&gt;"",AD132&lt;&gt;""),M132-K132,"")</f>
        <v/>
      </c>
      <c r="AI132" s="14" t="n">
        <f aca="false">IF(Z132&lt;&gt;"",K132-B132,"")</f>
        <v>22</v>
      </c>
      <c r="AJ132" s="14" t="str">
        <f aca="false">IF(AND(N132="Completed",AD132&lt;&gt;""),M132-B132,"")</f>
        <v/>
      </c>
      <c r="AK132" s="14" t="str">
        <f aca="false">IF(N132="Cancelled","Cancelled",IF(N132="Completed","Completed",IF(Y132=1,"Awaiting Installation",IF(ISNUMBER(J132),"In Transit","In Production"))))</f>
        <v>Awaiting Installation</v>
      </c>
      <c r="AL132" s="18" t="n">
        <f aca="false">IF(AND(N132="Pending",OR(AND(Y132=0,I132&lt;AsOf),AND(Y132=1,L132&lt;AsOf))),1,0)</f>
        <v>0</v>
      </c>
      <c r="AM132" s="14" t="str">
        <f aca="false">IF(AL132=1,IF(Y132=0,AsOf-I132,AsOf-L132),"")</f>
        <v/>
      </c>
      <c r="AN132" s="14" t="str">
        <f aca="false">IF(AL132=1,IF(Y132=0,"Delivery","Installation"),"")</f>
        <v/>
      </c>
      <c r="AO132" s="14" t="n">
        <f aca="false">IF(AND(OR(fCat="All",F132=fCat),OR(fCust="All",D132=fCust),OR(fReg="All",E132=fReg)),1,0)</f>
        <v>1</v>
      </c>
      <c r="AP132" s="14" t="n">
        <f aca="false">IF(AND(AL132=1,AO132=1),AM132+ROW()/100000,0)</f>
        <v>0</v>
      </c>
    </row>
    <row r="133" customFormat="false" ht="15" hidden="false" customHeight="false" outlineLevel="0" collapsed="false">
      <c r="A133" s="14" t="s">
        <v>619</v>
      </c>
      <c r="B133" s="15" t="n">
        <v>46179</v>
      </c>
      <c r="C133" s="14" t="s">
        <v>620</v>
      </c>
      <c r="D133" s="14" t="s">
        <v>65</v>
      </c>
      <c r="E133" s="14" t="s">
        <v>91</v>
      </c>
      <c r="F133" s="14" t="s">
        <v>160</v>
      </c>
      <c r="G133" s="14" t="n">
        <v>1</v>
      </c>
      <c r="H133" s="16" t="n">
        <v>175000</v>
      </c>
      <c r="I133" s="15" t="n">
        <v>46189</v>
      </c>
      <c r="J133" s="15" t="n">
        <v>46183</v>
      </c>
      <c r="K133" s="15" t="n">
        <v>46184</v>
      </c>
      <c r="L133" s="15" t="n">
        <v>46192</v>
      </c>
      <c r="M133" s="15" t="n">
        <v>46199</v>
      </c>
      <c r="N133" s="14" t="s">
        <v>75</v>
      </c>
      <c r="O133" s="14"/>
      <c r="P133" s="14" t="s">
        <v>183</v>
      </c>
      <c r="Q133" s="14"/>
      <c r="R133" s="14" t="s">
        <v>86</v>
      </c>
      <c r="S133" s="14" t="s">
        <v>745</v>
      </c>
      <c r="T133" s="14" t="n">
        <v>1</v>
      </c>
      <c r="U133" s="14" t="n">
        <v>1</v>
      </c>
      <c r="V133" s="14" t="n">
        <v>1</v>
      </c>
      <c r="W133" s="17" t="n">
        <f aca="false">DATE(YEAR(B133),MONTH(B133),1)</f>
        <v>46174</v>
      </c>
      <c r="X133" s="14" t="n">
        <f aca="false">IF(AND(N133&lt;&gt;"Cancelled",I133&lt;=AsOf),1,0)</f>
        <v>1</v>
      </c>
      <c r="Y133" s="14" t="n">
        <f aca="false">IF(AND(N133&lt;&gt;"Cancelled",OR(ISNUMBER(K133),N133="Completed")),1,0)</f>
        <v>1</v>
      </c>
      <c r="Z133" s="14" t="n">
        <f aca="false">IF(AND(Y133=1,U133=1,ISNUMBER(K133)),K133-I133,"")</f>
        <v>-5</v>
      </c>
      <c r="AA133" s="14" t="str">
        <f aca="false">IF(Z133="","",IF(Z133&lt;0,"Early",IF(Z133=0,"On Time","Late")))</f>
        <v>Early</v>
      </c>
      <c r="AB133" s="14" t="n">
        <f aca="false">IF(AND(N133&lt;&gt;"Cancelled",L133&lt;=AsOf),1,0)</f>
        <v>1</v>
      </c>
      <c r="AC133" s="14" t="n">
        <f aca="false">IF(AND(N133&lt;&gt;"Cancelled",OR(ISNUMBER(M133),N133="Completed")),1,0)</f>
        <v>1</v>
      </c>
      <c r="AD133" s="14" t="n">
        <f aca="false">IF(AND(AC133=1,V133=1,ISNUMBER(M133)),M133-L133,"")</f>
        <v>7</v>
      </c>
      <c r="AE133" s="14" t="str">
        <f aca="false">IF(AD133="","",IF(AD133&lt;0,"Early",IF(AD133=0,"On Time","Late")))</f>
        <v>Late</v>
      </c>
      <c r="AF133" s="14" t="n">
        <f aca="false">IF(AND(T133=1,ISNUMBER(J133),N133&lt;&gt;"Cancelled"),J133-B133,"")</f>
        <v>4</v>
      </c>
      <c r="AG133" s="14" t="n">
        <f aca="false">IF(AND(AF133&lt;&gt;"",Z133&lt;&gt;""),K133-J133,"")</f>
        <v>1</v>
      </c>
      <c r="AH133" s="14" t="n">
        <f aca="false">IF(AND(Z133&lt;&gt;"",AD133&lt;&gt;""),M133-K133,"")</f>
        <v>15</v>
      </c>
      <c r="AI133" s="14" t="n">
        <f aca="false">IF(Z133&lt;&gt;"",K133-B133,"")</f>
        <v>5</v>
      </c>
      <c r="AJ133" s="14" t="n">
        <f aca="false">IF(AND(N133="Completed",AD133&lt;&gt;""),M133-B133,"")</f>
        <v>20</v>
      </c>
      <c r="AK133" s="14" t="str">
        <f aca="false">IF(N133="Cancelled","Cancelled",IF(N133="Completed","Completed",IF(Y133=1,"Awaiting Installation",IF(ISNUMBER(J133),"In Transit","In Production"))))</f>
        <v>Completed</v>
      </c>
      <c r="AL133" s="18" t="n">
        <f aca="false">IF(AND(N133="Pending",OR(AND(Y133=0,I133&lt;AsOf),AND(Y133=1,L133&lt;AsOf))),1,0)</f>
        <v>0</v>
      </c>
      <c r="AM133" s="14" t="str">
        <f aca="false">IF(AL133=1,IF(Y133=0,AsOf-I133,AsOf-L133),"")</f>
        <v/>
      </c>
      <c r="AN133" s="14" t="str">
        <f aca="false">IF(AL133=1,IF(Y133=0,"Delivery","Installation"),"")</f>
        <v/>
      </c>
      <c r="AO133" s="14" t="n">
        <f aca="false">IF(AND(OR(fCat="All",F133=fCat),OR(fCust="All",D133=fCust),OR(fReg="All",E133=fReg)),1,0)</f>
        <v>1</v>
      </c>
      <c r="AP133" s="14" t="n">
        <f aca="false">IF(AND(AL133=1,AO133=1),AM133+ROW()/100000,0)</f>
        <v>0</v>
      </c>
    </row>
    <row r="134" customFormat="false" ht="15" hidden="false" customHeight="false" outlineLevel="0" collapsed="false">
      <c r="A134" s="14" t="s">
        <v>621</v>
      </c>
      <c r="B134" s="15" t="n">
        <v>46180</v>
      </c>
      <c r="C134" s="14" t="s">
        <v>101</v>
      </c>
      <c r="D134" s="14" t="s">
        <v>90</v>
      </c>
      <c r="E134" s="14" t="s">
        <v>91</v>
      </c>
      <c r="F134" s="14" t="s">
        <v>121</v>
      </c>
      <c r="G134" s="14" t="n">
        <v>1</v>
      </c>
      <c r="H134" s="16" t="n">
        <v>1053000</v>
      </c>
      <c r="I134" s="15" t="n">
        <v>46210</v>
      </c>
      <c r="J134" s="15"/>
      <c r="K134" s="15"/>
      <c r="L134" s="15" t="n">
        <v>46215</v>
      </c>
      <c r="M134" s="15"/>
      <c r="N134" s="14" t="s">
        <v>328</v>
      </c>
      <c r="O134" s="14"/>
      <c r="P134" s="14"/>
      <c r="Q134" s="14"/>
      <c r="R134" s="14"/>
      <c r="S134" s="14" t="s">
        <v>745</v>
      </c>
      <c r="T134" s="14" t="n">
        <v>1</v>
      </c>
      <c r="U134" s="14" t="n">
        <v>1</v>
      </c>
      <c r="V134" s="14" t="n">
        <v>1</v>
      </c>
      <c r="W134" s="17" t="n">
        <f aca="false">DATE(YEAR(B134),MONTH(B134),1)</f>
        <v>46174</v>
      </c>
      <c r="X134" s="14" t="n">
        <f aca="false">IF(AND(N134&lt;&gt;"Cancelled",I134&lt;=AsOf),1,0)</f>
        <v>0</v>
      </c>
      <c r="Y134" s="14" t="n">
        <f aca="false">IF(AND(N134&lt;&gt;"Cancelled",OR(ISNUMBER(K134),N134="Completed")),1,0)</f>
        <v>0</v>
      </c>
      <c r="Z134" s="14" t="str">
        <f aca="false">IF(AND(Y134=1,U134=1,ISNUMBER(K134)),K134-I134,"")</f>
        <v/>
      </c>
      <c r="AA134" s="14" t="str">
        <f aca="false">IF(Z134="","",IF(Z134&lt;0,"Early",IF(Z134=0,"On Time","Late")))</f>
        <v/>
      </c>
      <c r="AB134" s="14" t="n">
        <f aca="false">IF(AND(N134&lt;&gt;"Cancelled",L134&lt;=AsOf),1,0)</f>
        <v>0</v>
      </c>
      <c r="AC134" s="14" t="n">
        <f aca="false">IF(AND(N134&lt;&gt;"Cancelled",OR(ISNUMBER(M134),N134="Completed")),1,0)</f>
        <v>0</v>
      </c>
      <c r="AD134" s="14" t="str">
        <f aca="false">IF(AND(AC134=1,V134=1,ISNUMBER(M134)),M134-L134,"")</f>
        <v/>
      </c>
      <c r="AE134" s="14" t="str">
        <f aca="false">IF(AD134="","",IF(AD134&lt;0,"Early",IF(AD134=0,"On Time","Late")))</f>
        <v/>
      </c>
      <c r="AF134" s="14" t="str">
        <f aca="false">IF(AND(T134=1,ISNUMBER(J134),N134&lt;&gt;"Cancelled"),J134-B134,"")</f>
        <v/>
      </c>
      <c r="AG134" s="14" t="str">
        <f aca="false">IF(AND(AF134&lt;&gt;"",Z134&lt;&gt;""),K134-J134,"")</f>
        <v/>
      </c>
      <c r="AH134" s="14" t="str">
        <f aca="false">IF(AND(Z134&lt;&gt;"",AD134&lt;&gt;""),M134-K134,"")</f>
        <v/>
      </c>
      <c r="AI134" s="14" t="str">
        <f aca="false">IF(Z134&lt;&gt;"",K134-B134,"")</f>
        <v/>
      </c>
      <c r="AJ134" s="14" t="str">
        <f aca="false">IF(AND(N134="Completed",AD134&lt;&gt;""),M134-B134,"")</f>
        <v/>
      </c>
      <c r="AK134" s="14" t="str">
        <f aca="false">IF(N134="Cancelled","Cancelled",IF(N134="Completed","Completed",IF(Y134=1,"Awaiting Installation",IF(ISNUMBER(J134),"In Transit","In Production"))))</f>
        <v>In Production</v>
      </c>
      <c r="AL134" s="18" t="n">
        <f aca="false">IF(AND(N134="Pending",OR(AND(Y134=0,I134&lt;AsOf),AND(Y134=1,L134&lt;AsOf))),1,0)</f>
        <v>0</v>
      </c>
      <c r="AM134" s="14" t="str">
        <f aca="false">IF(AL134=1,IF(Y134=0,AsOf-I134,AsOf-L134),"")</f>
        <v/>
      </c>
      <c r="AN134" s="14" t="str">
        <f aca="false">IF(AL134=1,IF(Y134=0,"Delivery","Installation"),"")</f>
        <v/>
      </c>
      <c r="AO134" s="14" t="n">
        <f aca="false">IF(AND(OR(fCat="All",F134=fCat),OR(fCust="All",D134=fCust),OR(fReg="All",E134=fReg)),1,0)</f>
        <v>1</v>
      </c>
      <c r="AP134" s="14" t="n">
        <f aca="false">IF(AND(AL134=1,AO134=1),AM134+ROW()/100000,0)</f>
        <v>0</v>
      </c>
    </row>
    <row r="135" customFormat="false" ht="15" hidden="false" customHeight="false" outlineLevel="0" collapsed="false">
      <c r="A135" s="14" t="s">
        <v>625</v>
      </c>
      <c r="B135" s="15" t="n">
        <v>46181</v>
      </c>
      <c r="C135" s="14" t="s">
        <v>472</v>
      </c>
      <c r="D135" s="14" t="s">
        <v>149</v>
      </c>
      <c r="E135" s="14" t="s">
        <v>102</v>
      </c>
      <c r="F135" s="14" t="s">
        <v>150</v>
      </c>
      <c r="G135" s="14" t="n">
        <v>1</v>
      </c>
      <c r="H135" s="16" t="n">
        <v>527000</v>
      </c>
      <c r="I135" s="15" t="n">
        <v>46197</v>
      </c>
      <c r="J135" s="15" t="n">
        <v>46192</v>
      </c>
      <c r="K135" s="15" t="n">
        <v>46196</v>
      </c>
      <c r="L135" s="15" t="n">
        <v>46200</v>
      </c>
      <c r="M135" s="15" t="n">
        <v>46202</v>
      </c>
      <c r="N135" s="14" t="s">
        <v>75</v>
      </c>
      <c r="O135" s="14"/>
      <c r="P135" s="14"/>
      <c r="Q135" s="14"/>
      <c r="R135" s="14" t="s">
        <v>134</v>
      </c>
      <c r="S135" s="14" t="s">
        <v>745</v>
      </c>
      <c r="T135" s="14" t="n">
        <v>1</v>
      </c>
      <c r="U135" s="14" t="n">
        <v>1</v>
      </c>
      <c r="V135" s="14" t="n">
        <v>1</v>
      </c>
      <c r="W135" s="17" t="n">
        <f aca="false">DATE(YEAR(B135),MONTH(B135),1)</f>
        <v>46174</v>
      </c>
      <c r="X135" s="14" t="n">
        <f aca="false">IF(AND(N135&lt;&gt;"Cancelled",I135&lt;=AsOf),1,0)</f>
        <v>1</v>
      </c>
      <c r="Y135" s="14" t="n">
        <f aca="false">IF(AND(N135&lt;&gt;"Cancelled",OR(ISNUMBER(K135),N135="Completed")),1,0)</f>
        <v>1</v>
      </c>
      <c r="Z135" s="14" t="n">
        <f aca="false">IF(AND(Y135=1,U135=1,ISNUMBER(K135)),K135-I135,"")</f>
        <v>-1</v>
      </c>
      <c r="AA135" s="14" t="str">
        <f aca="false">IF(Z135="","",IF(Z135&lt;0,"Early",IF(Z135=0,"On Time","Late")))</f>
        <v>Early</v>
      </c>
      <c r="AB135" s="14" t="n">
        <f aca="false">IF(AND(N135&lt;&gt;"Cancelled",L135&lt;=AsOf),1,0)</f>
        <v>1</v>
      </c>
      <c r="AC135" s="14" t="n">
        <f aca="false">IF(AND(N135&lt;&gt;"Cancelled",OR(ISNUMBER(M135),N135="Completed")),1,0)</f>
        <v>1</v>
      </c>
      <c r="AD135" s="14" t="n">
        <f aca="false">IF(AND(AC135=1,V135=1,ISNUMBER(M135)),M135-L135,"")</f>
        <v>2</v>
      </c>
      <c r="AE135" s="14" t="str">
        <f aca="false">IF(AD135="","",IF(AD135&lt;0,"Early",IF(AD135=0,"On Time","Late")))</f>
        <v>Late</v>
      </c>
      <c r="AF135" s="14" t="n">
        <f aca="false">IF(AND(T135=1,ISNUMBER(J135),N135&lt;&gt;"Cancelled"),J135-B135,"")</f>
        <v>11</v>
      </c>
      <c r="AG135" s="14" t="n">
        <f aca="false">IF(AND(AF135&lt;&gt;"",Z135&lt;&gt;""),K135-J135,"")</f>
        <v>4</v>
      </c>
      <c r="AH135" s="14" t="n">
        <f aca="false">IF(AND(Z135&lt;&gt;"",AD135&lt;&gt;""),M135-K135,"")</f>
        <v>6</v>
      </c>
      <c r="AI135" s="14" t="n">
        <f aca="false">IF(Z135&lt;&gt;"",K135-B135,"")</f>
        <v>15</v>
      </c>
      <c r="AJ135" s="14" t="n">
        <f aca="false">IF(AND(N135="Completed",AD135&lt;&gt;""),M135-B135,"")</f>
        <v>21</v>
      </c>
      <c r="AK135" s="14" t="str">
        <f aca="false">IF(N135="Cancelled","Cancelled",IF(N135="Completed","Completed",IF(Y135=1,"Awaiting Installation",IF(ISNUMBER(J135),"In Transit","In Production"))))</f>
        <v>Completed</v>
      </c>
      <c r="AL135" s="18" t="n">
        <f aca="false">IF(AND(N135="Pending",OR(AND(Y135=0,I135&lt;AsOf),AND(Y135=1,L135&lt;AsOf))),1,0)</f>
        <v>0</v>
      </c>
      <c r="AM135" s="14" t="str">
        <f aca="false">IF(AL135=1,IF(Y135=0,AsOf-I135,AsOf-L135),"")</f>
        <v/>
      </c>
      <c r="AN135" s="14" t="str">
        <f aca="false">IF(AL135=1,IF(Y135=0,"Delivery","Installation"),"")</f>
        <v/>
      </c>
      <c r="AO135" s="14" t="n">
        <f aca="false">IF(AND(OR(fCat="All",F135=fCat),OR(fCust="All",D135=fCust),OR(fReg="All",E135=fReg)),1,0)</f>
        <v>1</v>
      </c>
      <c r="AP135" s="14" t="n">
        <f aca="false">IF(AND(AL135=1,AO135=1),AM135+ROW()/100000,0)</f>
        <v>0</v>
      </c>
    </row>
    <row r="136" customFormat="false" ht="15" hidden="false" customHeight="false" outlineLevel="0" collapsed="false">
      <c r="A136" s="14" t="s">
        <v>626</v>
      </c>
      <c r="B136" s="15" t="n">
        <v>46182</v>
      </c>
      <c r="C136" s="14" t="s">
        <v>491</v>
      </c>
      <c r="D136" s="14" t="s">
        <v>149</v>
      </c>
      <c r="E136" s="14" t="s">
        <v>91</v>
      </c>
      <c r="F136" s="14" t="s">
        <v>160</v>
      </c>
      <c r="G136" s="14" t="n">
        <v>1</v>
      </c>
      <c r="H136" s="16" t="n">
        <v>207000</v>
      </c>
      <c r="I136" s="15" t="n">
        <v>46192</v>
      </c>
      <c r="J136" s="15" t="n">
        <v>46184</v>
      </c>
      <c r="K136" s="15" t="n">
        <v>46186</v>
      </c>
      <c r="L136" s="15" t="n">
        <v>46195</v>
      </c>
      <c r="M136" s="15" t="n">
        <v>46187</v>
      </c>
      <c r="N136" s="14" t="s">
        <v>75</v>
      </c>
      <c r="O136" s="14"/>
      <c r="P136" s="14"/>
      <c r="Q136" s="14"/>
      <c r="R136" s="14" t="s">
        <v>86</v>
      </c>
      <c r="S136" s="14" t="s">
        <v>745</v>
      </c>
      <c r="T136" s="14" t="n">
        <v>1</v>
      </c>
      <c r="U136" s="14" t="n">
        <v>1</v>
      </c>
      <c r="V136" s="14" t="n">
        <v>1</v>
      </c>
      <c r="W136" s="17" t="n">
        <f aca="false">DATE(YEAR(B136),MONTH(B136),1)</f>
        <v>46174</v>
      </c>
      <c r="X136" s="14" t="n">
        <f aca="false">IF(AND(N136&lt;&gt;"Cancelled",I136&lt;=AsOf),1,0)</f>
        <v>1</v>
      </c>
      <c r="Y136" s="14" t="n">
        <f aca="false">IF(AND(N136&lt;&gt;"Cancelled",OR(ISNUMBER(K136),N136="Completed")),1,0)</f>
        <v>1</v>
      </c>
      <c r="Z136" s="14" t="n">
        <f aca="false">IF(AND(Y136=1,U136=1,ISNUMBER(K136)),K136-I136,"")</f>
        <v>-6</v>
      </c>
      <c r="AA136" s="14" t="str">
        <f aca="false">IF(Z136="","",IF(Z136&lt;0,"Early",IF(Z136=0,"On Time","Late")))</f>
        <v>Early</v>
      </c>
      <c r="AB136" s="14" t="n">
        <f aca="false">IF(AND(N136&lt;&gt;"Cancelled",L136&lt;=AsOf),1,0)</f>
        <v>1</v>
      </c>
      <c r="AC136" s="14" t="n">
        <f aca="false">IF(AND(N136&lt;&gt;"Cancelled",OR(ISNUMBER(M136),N136="Completed")),1,0)</f>
        <v>1</v>
      </c>
      <c r="AD136" s="14" t="n">
        <f aca="false">IF(AND(AC136=1,V136=1,ISNUMBER(M136)),M136-L136,"")</f>
        <v>-8</v>
      </c>
      <c r="AE136" s="14" t="str">
        <f aca="false">IF(AD136="","",IF(AD136&lt;0,"Early",IF(AD136=0,"On Time","Late")))</f>
        <v>Early</v>
      </c>
      <c r="AF136" s="14" t="n">
        <f aca="false">IF(AND(T136=1,ISNUMBER(J136),N136&lt;&gt;"Cancelled"),J136-B136,"")</f>
        <v>2</v>
      </c>
      <c r="AG136" s="14" t="n">
        <f aca="false">IF(AND(AF136&lt;&gt;"",Z136&lt;&gt;""),K136-J136,"")</f>
        <v>2</v>
      </c>
      <c r="AH136" s="14" t="n">
        <f aca="false">IF(AND(Z136&lt;&gt;"",AD136&lt;&gt;""),M136-K136,"")</f>
        <v>1</v>
      </c>
      <c r="AI136" s="14" t="n">
        <f aca="false">IF(Z136&lt;&gt;"",K136-B136,"")</f>
        <v>4</v>
      </c>
      <c r="AJ136" s="14" t="n">
        <f aca="false">IF(AND(N136="Completed",AD136&lt;&gt;""),M136-B136,"")</f>
        <v>5</v>
      </c>
      <c r="AK136" s="14" t="str">
        <f aca="false">IF(N136="Cancelled","Cancelled",IF(N136="Completed","Completed",IF(Y136=1,"Awaiting Installation",IF(ISNUMBER(J136),"In Transit","In Production"))))</f>
        <v>Completed</v>
      </c>
      <c r="AL136" s="18" t="n">
        <f aca="false">IF(AND(N136="Pending",OR(AND(Y136=0,I136&lt;AsOf),AND(Y136=1,L136&lt;AsOf))),1,0)</f>
        <v>0</v>
      </c>
      <c r="AM136" s="14" t="str">
        <f aca="false">IF(AL136=1,IF(Y136=0,AsOf-I136,AsOf-L136),"")</f>
        <v/>
      </c>
      <c r="AN136" s="14" t="str">
        <f aca="false">IF(AL136=1,IF(Y136=0,"Delivery","Installation"),"")</f>
        <v/>
      </c>
      <c r="AO136" s="14" t="n">
        <f aca="false">IF(AND(OR(fCat="All",F136=fCat),OR(fCust="All",D136=fCust),OR(fReg="All",E136=fReg)),1,0)</f>
        <v>1</v>
      </c>
      <c r="AP136" s="14" t="n">
        <f aca="false">IF(AND(AL136=1,AO136=1),AM136+ROW()/100000,0)</f>
        <v>0</v>
      </c>
    </row>
    <row r="137" customFormat="false" ht="15" hidden="false" customHeight="false" outlineLevel="0" collapsed="false">
      <c r="A137" s="14" t="s">
        <v>628</v>
      </c>
      <c r="B137" s="15" t="n">
        <v>46184</v>
      </c>
      <c r="C137" s="14" t="s">
        <v>268</v>
      </c>
      <c r="D137" s="14" t="s">
        <v>90</v>
      </c>
      <c r="E137" s="14" t="s">
        <v>91</v>
      </c>
      <c r="F137" s="14" t="s">
        <v>103</v>
      </c>
      <c r="G137" s="14" t="n">
        <v>1</v>
      </c>
      <c r="H137" s="16" t="n">
        <v>645000</v>
      </c>
      <c r="I137" s="15" t="n">
        <v>46205</v>
      </c>
      <c r="J137" s="15" t="n">
        <v>46201</v>
      </c>
      <c r="K137" s="15" t="n">
        <v>46203</v>
      </c>
      <c r="L137" s="15" t="n">
        <v>46210</v>
      </c>
      <c r="M137" s="15"/>
      <c r="N137" s="14" t="s">
        <v>328</v>
      </c>
      <c r="O137" s="14"/>
      <c r="P137" s="14"/>
      <c r="Q137" s="14"/>
      <c r="R137" s="14" t="s">
        <v>168</v>
      </c>
      <c r="S137" s="14" t="s">
        <v>745</v>
      </c>
      <c r="T137" s="14" t="n">
        <v>1</v>
      </c>
      <c r="U137" s="14" t="n">
        <v>1</v>
      </c>
      <c r="V137" s="14" t="n">
        <v>1</v>
      </c>
      <c r="W137" s="17" t="n">
        <f aca="false">DATE(YEAR(B137),MONTH(B137),1)</f>
        <v>46174</v>
      </c>
      <c r="X137" s="14" t="n">
        <f aca="false">IF(AND(N137&lt;&gt;"Cancelled",I137&lt;=AsOf),1,0)</f>
        <v>0</v>
      </c>
      <c r="Y137" s="14" t="n">
        <f aca="false">IF(AND(N137&lt;&gt;"Cancelled",OR(ISNUMBER(K137),N137="Completed")),1,0)</f>
        <v>1</v>
      </c>
      <c r="Z137" s="14" t="n">
        <f aca="false">IF(AND(Y137=1,U137=1,ISNUMBER(K137)),K137-I137,"")</f>
        <v>-2</v>
      </c>
      <c r="AA137" s="14" t="str">
        <f aca="false">IF(Z137="","",IF(Z137&lt;0,"Early",IF(Z137=0,"On Time","Late")))</f>
        <v>Early</v>
      </c>
      <c r="AB137" s="14" t="n">
        <f aca="false">IF(AND(N137&lt;&gt;"Cancelled",L137&lt;=AsOf),1,0)</f>
        <v>0</v>
      </c>
      <c r="AC137" s="14" t="n">
        <f aca="false">IF(AND(N137&lt;&gt;"Cancelled",OR(ISNUMBER(M137),N137="Completed")),1,0)</f>
        <v>0</v>
      </c>
      <c r="AD137" s="14" t="str">
        <f aca="false">IF(AND(AC137=1,V137=1,ISNUMBER(M137)),M137-L137,"")</f>
        <v/>
      </c>
      <c r="AE137" s="14" t="str">
        <f aca="false">IF(AD137="","",IF(AD137&lt;0,"Early",IF(AD137=0,"On Time","Late")))</f>
        <v/>
      </c>
      <c r="AF137" s="14" t="n">
        <f aca="false">IF(AND(T137=1,ISNUMBER(J137),N137&lt;&gt;"Cancelled"),J137-B137,"")</f>
        <v>17</v>
      </c>
      <c r="AG137" s="14" t="n">
        <f aca="false">IF(AND(AF137&lt;&gt;"",Z137&lt;&gt;""),K137-J137,"")</f>
        <v>2</v>
      </c>
      <c r="AH137" s="14" t="str">
        <f aca="false">IF(AND(Z137&lt;&gt;"",AD137&lt;&gt;""),M137-K137,"")</f>
        <v/>
      </c>
      <c r="AI137" s="14" t="n">
        <f aca="false">IF(Z137&lt;&gt;"",K137-B137,"")</f>
        <v>19</v>
      </c>
      <c r="AJ137" s="14" t="str">
        <f aca="false">IF(AND(N137="Completed",AD137&lt;&gt;""),M137-B137,"")</f>
        <v/>
      </c>
      <c r="AK137" s="14" t="str">
        <f aca="false">IF(N137="Cancelled","Cancelled",IF(N137="Completed","Completed",IF(Y137=1,"Awaiting Installation",IF(ISNUMBER(J137),"In Transit","In Production"))))</f>
        <v>Awaiting Installation</v>
      </c>
      <c r="AL137" s="18" t="n">
        <f aca="false">IF(AND(N137="Pending",OR(AND(Y137=0,I137&lt;AsOf),AND(Y137=1,L137&lt;AsOf))),1,0)</f>
        <v>0</v>
      </c>
      <c r="AM137" s="14" t="str">
        <f aca="false">IF(AL137=1,IF(Y137=0,AsOf-I137,AsOf-L137),"")</f>
        <v/>
      </c>
      <c r="AN137" s="14" t="str">
        <f aca="false">IF(AL137=1,IF(Y137=0,"Delivery","Installation"),"")</f>
        <v/>
      </c>
      <c r="AO137" s="14" t="n">
        <f aca="false">IF(AND(OR(fCat="All",F137=fCat),OR(fCust="All",D137=fCust),OR(fReg="All",E137=fReg)),1,0)</f>
        <v>1</v>
      </c>
      <c r="AP137" s="14" t="n">
        <f aca="false">IF(AND(AL137=1,AO137=1),AM137+ROW()/100000,0)</f>
        <v>0</v>
      </c>
    </row>
    <row r="138" customFormat="false" ht="15" hidden="false" customHeight="false" outlineLevel="0" collapsed="false">
      <c r="A138" s="14" t="s">
        <v>630</v>
      </c>
      <c r="B138" s="15" t="n">
        <v>46185</v>
      </c>
      <c r="C138" s="14" t="s">
        <v>78</v>
      </c>
      <c r="D138" s="14" t="s">
        <v>149</v>
      </c>
      <c r="E138" s="14" t="s">
        <v>91</v>
      </c>
      <c r="F138" s="14" t="s">
        <v>150</v>
      </c>
      <c r="G138" s="14" t="n">
        <v>1</v>
      </c>
      <c r="H138" s="16" t="n">
        <v>356000</v>
      </c>
      <c r="I138" s="15" t="n">
        <v>46199</v>
      </c>
      <c r="J138" s="15" t="n">
        <v>46195</v>
      </c>
      <c r="K138" s="15" t="n">
        <v>46196</v>
      </c>
      <c r="L138" s="15" t="n">
        <v>46202</v>
      </c>
      <c r="M138" s="15" t="n">
        <v>46197</v>
      </c>
      <c r="N138" s="14" t="s">
        <v>75</v>
      </c>
      <c r="O138" s="14"/>
      <c r="P138" s="14"/>
      <c r="Q138" s="14"/>
      <c r="R138" s="14" t="s">
        <v>86</v>
      </c>
      <c r="S138" s="14" t="s">
        <v>745</v>
      </c>
      <c r="T138" s="14" t="n">
        <v>1</v>
      </c>
      <c r="U138" s="14" t="n">
        <v>1</v>
      </c>
      <c r="V138" s="14" t="n">
        <v>1</v>
      </c>
      <c r="W138" s="17" t="n">
        <f aca="false">DATE(YEAR(B138),MONTH(B138),1)</f>
        <v>46174</v>
      </c>
      <c r="X138" s="14" t="n">
        <f aca="false">IF(AND(N138&lt;&gt;"Cancelled",I138&lt;=AsOf),1,0)</f>
        <v>1</v>
      </c>
      <c r="Y138" s="14" t="n">
        <f aca="false">IF(AND(N138&lt;&gt;"Cancelled",OR(ISNUMBER(K138),N138="Completed")),1,0)</f>
        <v>1</v>
      </c>
      <c r="Z138" s="14" t="n">
        <f aca="false">IF(AND(Y138=1,U138=1,ISNUMBER(K138)),K138-I138,"")</f>
        <v>-3</v>
      </c>
      <c r="AA138" s="14" t="str">
        <f aca="false">IF(Z138="","",IF(Z138&lt;0,"Early",IF(Z138=0,"On Time","Late")))</f>
        <v>Early</v>
      </c>
      <c r="AB138" s="14" t="n">
        <f aca="false">IF(AND(N138&lt;&gt;"Cancelled",L138&lt;=AsOf),1,0)</f>
        <v>1</v>
      </c>
      <c r="AC138" s="14" t="n">
        <f aca="false">IF(AND(N138&lt;&gt;"Cancelled",OR(ISNUMBER(M138),N138="Completed")),1,0)</f>
        <v>1</v>
      </c>
      <c r="AD138" s="14" t="n">
        <f aca="false">IF(AND(AC138=1,V138=1,ISNUMBER(M138)),M138-L138,"")</f>
        <v>-5</v>
      </c>
      <c r="AE138" s="14" t="str">
        <f aca="false">IF(AD138="","",IF(AD138&lt;0,"Early",IF(AD138=0,"On Time","Late")))</f>
        <v>Early</v>
      </c>
      <c r="AF138" s="14" t="n">
        <f aca="false">IF(AND(T138=1,ISNUMBER(J138),N138&lt;&gt;"Cancelled"),J138-B138,"")</f>
        <v>10</v>
      </c>
      <c r="AG138" s="14" t="n">
        <f aca="false">IF(AND(AF138&lt;&gt;"",Z138&lt;&gt;""),K138-J138,"")</f>
        <v>1</v>
      </c>
      <c r="AH138" s="14" t="n">
        <f aca="false">IF(AND(Z138&lt;&gt;"",AD138&lt;&gt;""),M138-K138,"")</f>
        <v>1</v>
      </c>
      <c r="AI138" s="14" t="n">
        <f aca="false">IF(Z138&lt;&gt;"",K138-B138,"")</f>
        <v>11</v>
      </c>
      <c r="AJ138" s="14" t="n">
        <f aca="false">IF(AND(N138="Completed",AD138&lt;&gt;""),M138-B138,"")</f>
        <v>12</v>
      </c>
      <c r="AK138" s="14" t="str">
        <f aca="false">IF(N138="Cancelled","Cancelled",IF(N138="Completed","Completed",IF(Y138=1,"Awaiting Installation",IF(ISNUMBER(J138),"In Transit","In Production"))))</f>
        <v>Completed</v>
      </c>
      <c r="AL138" s="18" t="n">
        <f aca="false">IF(AND(N138="Pending",OR(AND(Y138=0,I138&lt;AsOf),AND(Y138=1,L138&lt;AsOf))),1,0)</f>
        <v>0</v>
      </c>
      <c r="AM138" s="14" t="str">
        <f aca="false">IF(AL138=1,IF(Y138=0,AsOf-I138,AsOf-L138),"")</f>
        <v/>
      </c>
      <c r="AN138" s="14" t="str">
        <f aca="false">IF(AL138=1,IF(Y138=0,"Delivery","Installation"),"")</f>
        <v/>
      </c>
      <c r="AO138" s="14" t="n">
        <f aca="false">IF(AND(OR(fCat="All",F138=fCat),OR(fCust="All",D138=fCust),OR(fReg="All",E138=fReg)),1,0)</f>
        <v>1</v>
      </c>
      <c r="AP138" s="14" t="n">
        <f aca="false">IF(AND(AL138=1,AO138=1),AM138+ROW()/100000,0)</f>
        <v>0</v>
      </c>
    </row>
    <row r="139" customFormat="false" ht="15" hidden="false" customHeight="false" outlineLevel="0" collapsed="false">
      <c r="A139" s="14" t="s">
        <v>632</v>
      </c>
      <c r="B139" s="15" t="n">
        <v>46187</v>
      </c>
      <c r="C139" s="14" t="s">
        <v>633</v>
      </c>
      <c r="D139" s="14" t="s">
        <v>90</v>
      </c>
      <c r="E139" s="14" t="s">
        <v>91</v>
      </c>
      <c r="F139" s="14" t="s">
        <v>150</v>
      </c>
      <c r="G139" s="14" t="n">
        <v>1</v>
      </c>
      <c r="H139" s="16" t="n">
        <v>268000</v>
      </c>
      <c r="I139" s="15" t="n">
        <v>46201</v>
      </c>
      <c r="J139" s="15" t="n">
        <v>46200</v>
      </c>
      <c r="K139" s="15" t="n">
        <v>46202</v>
      </c>
      <c r="L139" s="15" t="n">
        <v>46204</v>
      </c>
      <c r="M139" s="15"/>
      <c r="N139" s="14" t="s">
        <v>328</v>
      </c>
      <c r="O139" s="14" t="s">
        <v>110</v>
      </c>
      <c r="P139" s="14"/>
      <c r="Q139" s="14"/>
      <c r="R139" s="14" t="s">
        <v>86</v>
      </c>
      <c r="S139" s="14" t="s">
        <v>745</v>
      </c>
      <c r="T139" s="14" t="n">
        <v>1</v>
      </c>
      <c r="U139" s="14" t="n">
        <v>1</v>
      </c>
      <c r="V139" s="14" t="n">
        <v>1</v>
      </c>
      <c r="W139" s="17" t="n">
        <f aca="false">DATE(YEAR(B139),MONTH(B139),1)</f>
        <v>46174</v>
      </c>
      <c r="X139" s="14" t="n">
        <f aca="false">IF(AND(N139&lt;&gt;"Cancelled",I139&lt;=AsOf),1,0)</f>
        <v>1</v>
      </c>
      <c r="Y139" s="14" t="n">
        <f aca="false">IF(AND(N139&lt;&gt;"Cancelled",OR(ISNUMBER(K139),N139="Completed")),1,0)</f>
        <v>1</v>
      </c>
      <c r="Z139" s="14" t="n">
        <f aca="false">IF(AND(Y139=1,U139=1,ISNUMBER(K139)),K139-I139,"")</f>
        <v>1</v>
      </c>
      <c r="AA139" s="14" t="str">
        <f aca="false">IF(Z139="","",IF(Z139&lt;0,"Early",IF(Z139=0,"On Time","Late")))</f>
        <v>Late</v>
      </c>
      <c r="AB139" s="14" t="n">
        <f aca="false">IF(AND(N139&lt;&gt;"Cancelled",L139&lt;=AsOf),1,0)</f>
        <v>0</v>
      </c>
      <c r="AC139" s="14" t="n">
        <f aca="false">IF(AND(N139&lt;&gt;"Cancelled",OR(ISNUMBER(M139),N139="Completed")),1,0)</f>
        <v>0</v>
      </c>
      <c r="AD139" s="14" t="str">
        <f aca="false">IF(AND(AC139=1,V139=1,ISNUMBER(M139)),M139-L139,"")</f>
        <v/>
      </c>
      <c r="AE139" s="14" t="str">
        <f aca="false">IF(AD139="","",IF(AD139&lt;0,"Early",IF(AD139=0,"On Time","Late")))</f>
        <v/>
      </c>
      <c r="AF139" s="14" t="n">
        <f aca="false">IF(AND(T139=1,ISNUMBER(J139),N139&lt;&gt;"Cancelled"),J139-B139,"")</f>
        <v>13</v>
      </c>
      <c r="AG139" s="14" t="n">
        <f aca="false">IF(AND(AF139&lt;&gt;"",Z139&lt;&gt;""),K139-J139,"")</f>
        <v>2</v>
      </c>
      <c r="AH139" s="14" t="str">
        <f aca="false">IF(AND(Z139&lt;&gt;"",AD139&lt;&gt;""),M139-K139,"")</f>
        <v/>
      </c>
      <c r="AI139" s="14" t="n">
        <f aca="false">IF(Z139&lt;&gt;"",K139-B139,"")</f>
        <v>15</v>
      </c>
      <c r="AJ139" s="14" t="str">
        <f aca="false">IF(AND(N139="Completed",AD139&lt;&gt;""),M139-B139,"")</f>
        <v/>
      </c>
      <c r="AK139" s="14" t="str">
        <f aca="false">IF(N139="Cancelled","Cancelled",IF(N139="Completed","Completed",IF(Y139=1,"Awaiting Installation",IF(ISNUMBER(J139),"In Transit","In Production"))))</f>
        <v>Awaiting Installation</v>
      </c>
      <c r="AL139" s="18" t="n">
        <f aca="false">IF(AND(N139="Pending",OR(AND(Y139=0,I139&lt;AsOf),AND(Y139=1,L139&lt;AsOf))),1,0)</f>
        <v>0</v>
      </c>
      <c r="AM139" s="14" t="str">
        <f aca="false">IF(AL139=1,IF(Y139=0,AsOf-I139,AsOf-L139),"")</f>
        <v/>
      </c>
      <c r="AN139" s="14" t="str">
        <f aca="false">IF(AL139=1,IF(Y139=0,"Delivery","Installation"),"")</f>
        <v/>
      </c>
      <c r="AO139" s="14" t="n">
        <f aca="false">IF(AND(OR(fCat="All",F139=fCat),OR(fCust="All",D139=fCust),OR(fReg="All",E139=fReg)),1,0)</f>
        <v>1</v>
      </c>
      <c r="AP139" s="14" t="n">
        <f aca="false">IF(AND(AL139=1,AO139=1),AM139+ROW()/100000,0)</f>
        <v>0</v>
      </c>
    </row>
    <row r="140" customFormat="false" ht="15" hidden="false" customHeight="false" outlineLevel="0" collapsed="false">
      <c r="A140" s="14" t="s">
        <v>636</v>
      </c>
      <c r="B140" s="15" t="n">
        <v>46187</v>
      </c>
      <c r="C140" s="14" t="s">
        <v>637</v>
      </c>
      <c r="D140" s="14" t="s">
        <v>90</v>
      </c>
      <c r="E140" s="14" t="s">
        <v>66</v>
      </c>
      <c r="F140" s="14" t="s">
        <v>160</v>
      </c>
      <c r="G140" s="14" t="n">
        <v>2</v>
      </c>
      <c r="H140" s="16" t="n">
        <v>216000</v>
      </c>
      <c r="I140" s="15" t="n">
        <v>46201</v>
      </c>
      <c r="J140" s="15" t="n">
        <v>46192</v>
      </c>
      <c r="K140" s="15" t="n">
        <v>46202</v>
      </c>
      <c r="L140" s="15" t="n">
        <v>46204</v>
      </c>
      <c r="M140" s="15"/>
      <c r="N140" s="14" t="s">
        <v>328</v>
      </c>
      <c r="O140" s="14" t="s">
        <v>329</v>
      </c>
      <c r="P140" s="14"/>
      <c r="Q140" s="14"/>
      <c r="R140" s="14"/>
      <c r="S140" s="14" t="s">
        <v>745</v>
      </c>
      <c r="T140" s="14" t="n">
        <v>1</v>
      </c>
      <c r="U140" s="14" t="n">
        <v>1</v>
      </c>
      <c r="V140" s="14" t="n">
        <v>1</v>
      </c>
      <c r="W140" s="17" t="n">
        <f aca="false">DATE(YEAR(B140),MONTH(B140),1)</f>
        <v>46174</v>
      </c>
      <c r="X140" s="14" t="n">
        <f aca="false">IF(AND(N140&lt;&gt;"Cancelled",I140&lt;=AsOf),1,0)</f>
        <v>1</v>
      </c>
      <c r="Y140" s="14" t="n">
        <f aca="false">IF(AND(N140&lt;&gt;"Cancelled",OR(ISNUMBER(K140),N140="Completed")),1,0)</f>
        <v>1</v>
      </c>
      <c r="Z140" s="14" t="n">
        <f aca="false">IF(AND(Y140=1,U140=1,ISNUMBER(K140)),K140-I140,"")</f>
        <v>1</v>
      </c>
      <c r="AA140" s="14" t="str">
        <f aca="false">IF(Z140="","",IF(Z140&lt;0,"Early",IF(Z140=0,"On Time","Late")))</f>
        <v>Late</v>
      </c>
      <c r="AB140" s="14" t="n">
        <f aca="false">IF(AND(N140&lt;&gt;"Cancelled",L140&lt;=AsOf),1,0)</f>
        <v>0</v>
      </c>
      <c r="AC140" s="14" t="n">
        <f aca="false">IF(AND(N140&lt;&gt;"Cancelled",OR(ISNUMBER(M140),N140="Completed")),1,0)</f>
        <v>0</v>
      </c>
      <c r="AD140" s="14" t="str">
        <f aca="false">IF(AND(AC140=1,V140=1,ISNUMBER(M140)),M140-L140,"")</f>
        <v/>
      </c>
      <c r="AE140" s="14" t="str">
        <f aca="false">IF(AD140="","",IF(AD140&lt;0,"Early",IF(AD140=0,"On Time","Late")))</f>
        <v/>
      </c>
      <c r="AF140" s="14" t="n">
        <f aca="false">IF(AND(T140=1,ISNUMBER(J140),N140&lt;&gt;"Cancelled"),J140-B140,"")</f>
        <v>5</v>
      </c>
      <c r="AG140" s="14" t="n">
        <f aca="false">IF(AND(AF140&lt;&gt;"",Z140&lt;&gt;""),K140-J140,"")</f>
        <v>10</v>
      </c>
      <c r="AH140" s="14" t="str">
        <f aca="false">IF(AND(Z140&lt;&gt;"",AD140&lt;&gt;""),M140-K140,"")</f>
        <v/>
      </c>
      <c r="AI140" s="14" t="n">
        <f aca="false">IF(Z140&lt;&gt;"",K140-B140,"")</f>
        <v>15</v>
      </c>
      <c r="AJ140" s="14" t="str">
        <f aca="false">IF(AND(N140="Completed",AD140&lt;&gt;""),M140-B140,"")</f>
        <v/>
      </c>
      <c r="AK140" s="14" t="str">
        <f aca="false">IF(N140="Cancelled","Cancelled",IF(N140="Completed","Completed",IF(Y140=1,"Awaiting Installation",IF(ISNUMBER(J140),"In Transit","In Production"))))</f>
        <v>Awaiting Installation</v>
      </c>
      <c r="AL140" s="18" t="n">
        <f aca="false">IF(AND(N140="Pending",OR(AND(Y140=0,I140&lt;AsOf),AND(Y140=1,L140&lt;AsOf))),1,0)</f>
        <v>0</v>
      </c>
      <c r="AM140" s="14" t="str">
        <f aca="false">IF(AL140=1,IF(Y140=0,AsOf-I140,AsOf-L140),"")</f>
        <v/>
      </c>
      <c r="AN140" s="14" t="str">
        <f aca="false">IF(AL140=1,IF(Y140=0,"Delivery","Installation"),"")</f>
        <v/>
      </c>
      <c r="AO140" s="14" t="n">
        <f aca="false">IF(AND(OR(fCat="All",F140=fCat),OR(fCust="All",D140=fCust),OR(fReg="All",E140=fReg)),1,0)</f>
        <v>1</v>
      </c>
      <c r="AP140" s="14" t="n">
        <f aca="false">IF(AND(AL140=1,AO140=1),AM140+ROW()/100000,0)</f>
        <v>0</v>
      </c>
    </row>
    <row r="141" customFormat="false" ht="15" hidden="false" customHeight="false" outlineLevel="0" collapsed="false">
      <c r="A141" s="14" t="s">
        <v>639</v>
      </c>
      <c r="B141" s="15" t="n">
        <v>46188</v>
      </c>
      <c r="C141" s="14" t="s">
        <v>640</v>
      </c>
      <c r="D141" s="14" t="s">
        <v>90</v>
      </c>
      <c r="E141" s="14" t="s">
        <v>66</v>
      </c>
      <c r="F141" s="14" t="s">
        <v>67</v>
      </c>
      <c r="G141" s="14" t="n">
        <v>2</v>
      </c>
      <c r="H141" s="16" t="n">
        <v>1910000</v>
      </c>
      <c r="I141" s="15" t="n">
        <v>46210</v>
      </c>
      <c r="J141" s="15"/>
      <c r="K141" s="15"/>
      <c r="L141" s="15" t="n">
        <v>46215</v>
      </c>
      <c r="M141" s="15"/>
      <c r="N141" s="14" t="s">
        <v>328</v>
      </c>
      <c r="O141" s="14"/>
      <c r="P141" s="14"/>
      <c r="Q141" s="14"/>
      <c r="R141" s="14"/>
      <c r="S141" s="14" t="s">
        <v>745</v>
      </c>
      <c r="T141" s="14" t="n">
        <v>1</v>
      </c>
      <c r="U141" s="14" t="n">
        <v>1</v>
      </c>
      <c r="V141" s="14" t="n">
        <v>1</v>
      </c>
      <c r="W141" s="17" t="n">
        <f aca="false">DATE(YEAR(B141),MONTH(B141),1)</f>
        <v>46174</v>
      </c>
      <c r="X141" s="14" t="n">
        <f aca="false">IF(AND(N141&lt;&gt;"Cancelled",I141&lt;=AsOf),1,0)</f>
        <v>0</v>
      </c>
      <c r="Y141" s="14" t="n">
        <f aca="false">IF(AND(N141&lt;&gt;"Cancelled",OR(ISNUMBER(K141),N141="Completed")),1,0)</f>
        <v>0</v>
      </c>
      <c r="Z141" s="14" t="str">
        <f aca="false">IF(AND(Y141=1,U141=1,ISNUMBER(K141)),K141-I141,"")</f>
        <v/>
      </c>
      <c r="AA141" s="14" t="str">
        <f aca="false">IF(Z141="","",IF(Z141&lt;0,"Early",IF(Z141=0,"On Time","Late")))</f>
        <v/>
      </c>
      <c r="AB141" s="14" t="n">
        <f aca="false">IF(AND(N141&lt;&gt;"Cancelled",L141&lt;=AsOf),1,0)</f>
        <v>0</v>
      </c>
      <c r="AC141" s="14" t="n">
        <f aca="false">IF(AND(N141&lt;&gt;"Cancelled",OR(ISNUMBER(M141),N141="Completed")),1,0)</f>
        <v>0</v>
      </c>
      <c r="AD141" s="14" t="str">
        <f aca="false">IF(AND(AC141=1,V141=1,ISNUMBER(M141)),M141-L141,"")</f>
        <v/>
      </c>
      <c r="AE141" s="14" t="str">
        <f aca="false">IF(AD141="","",IF(AD141&lt;0,"Early",IF(AD141=0,"On Time","Late")))</f>
        <v/>
      </c>
      <c r="AF141" s="14" t="str">
        <f aca="false">IF(AND(T141=1,ISNUMBER(J141),N141&lt;&gt;"Cancelled"),J141-B141,"")</f>
        <v/>
      </c>
      <c r="AG141" s="14" t="str">
        <f aca="false">IF(AND(AF141&lt;&gt;"",Z141&lt;&gt;""),K141-J141,"")</f>
        <v/>
      </c>
      <c r="AH141" s="14" t="str">
        <f aca="false">IF(AND(Z141&lt;&gt;"",AD141&lt;&gt;""),M141-K141,"")</f>
        <v/>
      </c>
      <c r="AI141" s="14" t="str">
        <f aca="false">IF(Z141&lt;&gt;"",K141-B141,"")</f>
        <v/>
      </c>
      <c r="AJ141" s="14" t="str">
        <f aca="false">IF(AND(N141="Completed",AD141&lt;&gt;""),M141-B141,"")</f>
        <v/>
      </c>
      <c r="AK141" s="14" t="str">
        <f aca="false">IF(N141="Cancelled","Cancelled",IF(N141="Completed","Completed",IF(Y141=1,"Awaiting Installation",IF(ISNUMBER(J141),"In Transit","In Production"))))</f>
        <v>In Production</v>
      </c>
      <c r="AL141" s="18" t="n">
        <f aca="false">IF(AND(N141="Pending",OR(AND(Y141=0,I141&lt;AsOf),AND(Y141=1,L141&lt;AsOf))),1,0)</f>
        <v>0</v>
      </c>
      <c r="AM141" s="14" t="str">
        <f aca="false">IF(AL141=1,IF(Y141=0,AsOf-I141,AsOf-L141),"")</f>
        <v/>
      </c>
      <c r="AN141" s="14" t="str">
        <f aca="false">IF(AL141=1,IF(Y141=0,"Delivery","Installation"),"")</f>
        <v/>
      </c>
      <c r="AO141" s="14" t="n">
        <f aca="false">IF(AND(OR(fCat="All",F141=fCat),OR(fCust="All",D141=fCust),OR(fReg="All",E141=fReg)),1,0)</f>
        <v>1</v>
      </c>
      <c r="AP141" s="14" t="n">
        <f aca="false">IF(AND(AL141=1,AO141=1),AM141+ROW()/100000,0)</f>
        <v>0</v>
      </c>
    </row>
    <row r="142" customFormat="false" ht="15" hidden="false" customHeight="false" outlineLevel="0" collapsed="false">
      <c r="A142" s="14" t="s">
        <v>642</v>
      </c>
      <c r="B142" s="15" t="n">
        <v>46188</v>
      </c>
      <c r="C142" s="14" t="s">
        <v>643</v>
      </c>
      <c r="D142" s="14" t="s">
        <v>149</v>
      </c>
      <c r="E142" s="14" t="s">
        <v>91</v>
      </c>
      <c r="F142" s="14" t="s">
        <v>160</v>
      </c>
      <c r="G142" s="14" t="n">
        <v>1</v>
      </c>
      <c r="H142" s="16" t="n">
        <v>139000</v>
      </c>
      <c r="I142" s="15" t="n">
        <v>46198</v>
      </c>
      <c r="J142" s="15" t="n">
        <v>46189</v>
      </c>
      <c r="K142" s="15" t="n">
        <v>46190</v>
      </c>
      <c r="L142" s="15" t="n">
        <v>46201</v>
      </c>
      <c r="M142" s="15" t="n">
        <v>46200</v>
      </c>
      <c r="N142" s="14" t="s">
        <v>75</v>
      </c>
      <c r="O142" s="14"/>
      <c r="P142" s="14"/>
      <c r="Q142" s="14"/>
      <c r="R142" s="14"/>
      <c r="S142" s="14" t="s">
        <v>745</v>
      </c>
      <c r="T142" s="14" t="n">
        <v>1</v>
      </c>
      <c r="U142" s="14" t="n">
        <v>1</v>
      </c>
      <c r="V142" s="14" t="n">
        <v>1</v>
      </c>
      <c r="W142" s="17" t="n">
        <f aca="false">DATE(YEAR(B142),MONTH(B142),1)</f>
        <v>46174</v>
      </c>
      <c r="X142" s="14" t="n">
        <f aca="false">IF(AND(N142&lt;&gt;"Cancelled",I142&lt;=AsOf),1,0)</f>
        <v>1</v>
      </c>
      <c r="Y142" s="14" t="n">
        <f aca="false">IF(AND(N142&lt;&gt;"Cancelled",OR(ISNUMBER(K142),N142="Completed")),1,0)</f>
        <v>1</v>
      </c>
      <c r="Z142" s="14" t="n">
        <f aca="false">IF(AND(Y142=1,U142=1,ISNUMBER(K142)),K142-I142,"")</f>
        <v>-8</v>
      </c>
      <c r="AA142" s="14" t="str">
        <f aca="false">IF(Z142="","",IF(Z142&lt;0,"Early",IF(Z142=0,"On Time","Late")))</f>
        <v>Early</v>
      </c>
      <c r="AB142" s="14" t="n">
        <f aca="false">IF(AND(N142&lt;&gt;"Cancelled",L142&lt;=AsOf),1,0)</f>
        <v>1</v>
      </c>
      <c r="AC142" s="14" t="n">
        <f aca="false">IF(AND(N142&lt;&gt;"Cancelled",OR(ISNUMBER(M142),N142="Completed")),1,0)</f>
        <v>1</v>
      </c>
      <c r="AD142" s="14" t="n">
        <f aca="false">IF(AND(AC142=1,V142=1,ISNUMBER(M142)),M142-L142,"")</f>
        <v>-1</v>
      </c>
      <c r="AE142" s="14" t="str">
        <f aca="false">IF(AD142="","",IF(AD142&lt;0,"Early",IF(AD142=0,"On Time","Late")))</f>
        <v>Early</v>
      </c>
      <c r="AF142" s="14" t="n">
        <f aca="false">IF(AND(T142=1,ISNUMBER(J142),N142&lt;&gt;"Cancelled"),J142-B142,"")</f>
        <v>1</v>
      </c>
      <c r="AG142" s="14" t="n">
        <f aca="false">IF(AND(AF142&lt;&gt;"",Z142&lt;&gt;""),K142-J142,"")</f>
        <v>1</v>
      </c>
      <c r="AH142" s="14" t="n">
        <f aca="false">IF(AND(Z142&lt;&gt;"",AD142&lt;&gt;""),M142-K142,"")</f>
        <v>10</v>
      </c>
      <c r="AI142" s="14" t="n">
        <f aca="false">IF(Z142&lt;&gt;"",K142-B142,"")</f>
        <v>2</v>
      </c>
      <c r="AJ142" s="14" t="n">
        <f aca="false">IF(AND(N142="Completed",AD142&lt;&gt;""),M142-B142,"")</f>
        <v>12</v>
      </c>
      <c r="AK142" s="14" t="str">
        <f aca="false">IF(N142="Cancelled","Cancelled",IF(N142="Completed","Completed",IF(Y142=1,"Awaiting Installation",IF(ISNUMBER(J142),"In Transit","In Production"))))</f>
        <v>Completed</v>
      </c>
      <c r="AL142" s="18" t="n">
        <f aca="false">IF(AND(N142="Pending",OR(AND(Y142=0,I142&lt;AsOf),AND(Y142=1,L142&lt;AsOf))),1,0)</f>
        <v>0</v>
      </c>
      <c r="AM142" s="14" t="str">
        <f aca="false">IF(AL142=1,IF(Y142=0,AsOf-I142,AsOf-L142),"")</f>
        <v/>
      </c>
      <c r="AN142" s="14" t="str">
        <f aca="false">IF(AL142=1,IF(Y142=0,"Delivery","Installation"),"")</f>
        <v/>
      </c>
      <c r="AO142" s="14" t="n">
        <f aca="false">IF(AND(OR(fCat="All",F142=fCat),OR(fCust="All",D142=fCust),OR(fReg="All",E142=fReg)),1,0)</f>
        <v>1</v>
      </c>
      <c r="AP142" s="14" t="n">
        <f aca="false">IF(AND(AL142=1,AO142=1),AM142+ROW()/100000,0)</f>
        <v>0</v>
      </c>
    </row>
    <row r="143" customFormat="false" ht="15" hidden="false" customHeight="false" outlineLevel="0" collapsed="false">
      <c r="A143" s="14" t="s">
        <v>645</v>
      </c>
      <c r="B143" s="15" t="n">
        <v>46188</v>
      </c>
      <c r="C143" s="14" t="s">
        <v>164</v>
      </c>
      <c r="D143" s="14" t="s">
        <v>90</v>
      </c>
      <c r="E143" s="14" t="s">
        <v>91</v>
      </c>
      <c r="F143" s="14" t="s">
        <v>67</v>
      </c>
      <c r="G143" s="14" t="n">
        <v>1</v>
      </c>
      <c r="H143" s="16" t="n">
        <v>313000</v>
      </c>
      <c r="I143" s="15" t="n">
        <v>46206</v>
      </c>
      <c r="J143" s="15" t="n">
        <v>46201</v>
      </c>
      <c r="K143" s="15" t="n">
        <v>46202</v>
      </c>
      <c r="L143" s="15" t="n">
        <v>46211</v>
      </c>
      <c r="M143" s="15"/>
      <c r="N143" s="14" t="s">
        <v>328</v>
      </c>
      <c r="O143" s="14"/>
      <c r="P143" s="14"/>
      <c r="Q143" s="14"/>
      <c r="R143" s="14" t="s">
        <v>226</v>
      </c>
      <c r="S143" s="14" t="s">
        <v>745</v>
      </c>
      <c r="T143" s="14" t="n">
        <v>1</v>
      </c>
      <c r="U143" s="14" t="n">
        <v>1</v>
      </c>
      <c r="V143" s="14" t="n">
        <v>1</v>
      </c>
      <c r="W143" s="17" t="n">
        <f aca="false">DATE(YEAR(B143),MONTH(B143),1)</f>
        <v>46174</v>
      </c>
      <c r="X143" s="14" t="n">
        <f aca="false">IF(AND(N143&lt;&gt;"Cancelled",I143&lt;=AsOf),1,0)</f>
        <v>0</v>
      </c>
      <c r="Y143" s="14" t="n">
        <f aca="false">IF(AND(N143&lt;&gt;"Cancelled",OR(ISNUMBER(K143),N143="Completed")),1,0)</f>
        <v>1</v>
      </c>
      <c r="Z143" s="14" t="n">
        <f aca="false">IF(AND(Y143=1,U143=1,ISNUMBER(K143)),K143-I143,"")</f>
        <v>-4</v>
      </c>
      <c r="AA143" s="14" t="str">
        <f aca="false">IF(Z143="","",IF(Z143&lt;0,"Early",IF(Z143=0,"On Time","Late")))</f>
        <v>Early</v>
      </c>
      <c r="AB143" s="14" t="n">
        <f aca="false">IF(AND(N143&lt;&gt;"Cancelled",L143&lt;=AsOf),1,0)</f>
        <v>0</v>
      </c>
      <c r="AC143" s="14" t="n">
        <f aca="false">IF(AND(N143&lt;&gt;"Cancelled",OR(ISNUMBER(M143),N143="Completed")),1,0)</f>
        <v>0</v>
      </c>
      <c r="AD143" s="14" t="str">
        <f aca="false">IF(AND(AC143=1,V143=1,ISNUMBER(M143)),M143-L143,"")</f>
        <v/>
      </c>
      <c r="AE143" s="14" t="str">
        <f aca="false">IF(AD143="","",IF(AD143&lt;0,"Early",IF(AD143=0,"On Time","Late")))</f>
        <v/>
      </c>
      <c r="AF143" s="14" t="n">
        <f aca="false">IF(AND(T143=1,ISNUMBER(J143),N143&lt;&gt;"Cancelled"),J143-B143,"")</f>
        <v>13</v>
      </c>
      <c r="AG143" s="14" t="n">
        <f aca="false">IF(AND(AF143&lt;&gt;"",Z143&lt;&gt;""),K143-J143,"")</f>
        <v>1</v>
      </c>
      <c r="AH143" s="14" t="str">
        <f aca="false">IF(AND(Z143&lt;&gt;"",AD143&lt;&gt;""),M143-K143,"")</f>
        <v/>
      </c>
      <c r="AI143" s="14" t="n">
        <f aca="false">IF(Z143&lt;&gt;"",K143-B143,"")</f>
        <v>14</v>
      </c>
      <c r="AJ143" s="14" t="str">
        <f aca="false">IF(AND(N143="Completed",AD143&lt;&gt;""),M143-B143,"")</f>
        <v/>
      </c>
      <c r="AK143" s="14" t="str">
        <f aca="false">IF(N143="Cancelled","Cancelled",IF(N143="Completed","Completed",IF(Y143=1,"Awaiting Installation",IF(ISNUMBER(J143),"In Transit","In Production"))))</f>
        <v>Awaiting Installation</v>
      </c>
      <c r="AL143" s="18" t="n">
        <f aca="false">IF(AND(N143="Pending",OR(AND(Y143=0,I143&lt;AsOf),AND(Y143=1,L143&lt;AsOf))),1,0)</f>
        <v>0</v>
      </c>
      <c r="AM143" s="14" t="str">
        <f aca="false">IF(AL143=1,IF(Y143=0,AsOf-I143,AsOf-L143),"")</f>
        <v/>
      </c>
      <c r="AN143" s="14" t="str">
        <f aca="false">IF(AL143=1,IF(Y143=0,"Delivery","Installation"),"")</f>
        <v/>
      </c>
      <c r="AO143" s="14" t="n">
        <f aca="false">IF(AND(OR(fCat="All",F143=fCat),OR(fCust="All",D143=fCust),OR(fReg="All",E143=fReg)),1,0)</f>
        <v>1</v>
      </c>
      <c r="AP143" s="14" t="n">
        <f aca="false">IF(AND(AL143=1,AO143=1),AM143+ROW()/100000,0)</f>
        <v>0</v>
      </c>
    </row>
    <row r="144" customFormat="false" ht="15" hidden="false" customHeight="false" outlineLevel="0" collapsed="false">
      <c r="A144" s="14" t="s">
        <v>649</v>
      </c>
      <c r="B144" s="15" t="n">
        <v>46189</v>
      </c>
      <c r="C144" s="14" t="s">
        <v>650</v>
      </c>
      <c r="D144" s="14" t="s">
        <v>90</v>
      </c>
      <c r="E144" s="14" t="s">
        <v>91</v>
      </c>
      <c r="F144" s="14" t="s">
        <v>150</v>
      </c>
      <c r="G144" s="14" t="n">
        <v>1</v>
      </c>
      <c r="H144" s="16" t="n">
        <v>328000</v>
      </c>
      <c r="I144" s="15" t="n">
        <v>46203</v>
      </c>
      <c r="J144" s="15" t="n">
        <v>46194</v>
      </c>
      <c r="K144" s="15" t="n">
        <v>46195</v>
      </c>
      <c r="L144" s="15" t="n">
        <v>46206</v>
      </c>
      <c r="M144" s="15" t="n">
        <v>46198</v>
      </c>
      <c r="N144" s="14" t="s">
        <v>75</v>
      </c>
      <c r="O144" s="14"/>
      <c r="P144" s="14"/>
      <c r="Q144" s="14"/>
      <c r="R144" s="14"/>
      <c r="S144" s="14" t="s">
        <v>745</v>
      </c>
      <c r="T144" s="14" t="n">
        <v>1</v>
      </c>
      <c r="U144" s="14" t="n">
        <v>1</v>
      </c>
      <c r="V144" s="14" t="n">
        <v>1</v>
      </c>
      <c r="W144" s="17" t="n">
        <f aca="false">DATE(YEAR(B144),MONTH(B144),1)</f>
        <v>46174</v>
      </c>
      <c r="X144" s="14" t="n">
        <f aca="false">IF(AND(N144&lt;&gt;"Cancelled",I144&lt;=AsOf),1,0)</f>
        <v>1</v>
      </c>
      <c r="Y144" s="14" t="n">
        <f aca="false">IF(AND(N144&lt;&gt;"Cancelled",OR(ISNUMBER(K144),N144="Completed")),1,0)</f>
        <v>1</v>
      </c>
      <c r="Z144" s="14" t="n">
        <f aca="false">IF(AND(Y144=1,U144=1,ISNUMBER(K144)),K144-I144,"")</f>
        <v>-8</v>
      </c>
      <c r="AA144" s="14" t="str">
        <f aca="false">IF(Z144="","",IF(Z144&lt;0,"Early",IF(Z144=0,"On Time","Late")))</f>
        <v>Early</v>
      </c>
      <c r="AB144" s="14" t="n">
        <f aca="false">IF(AND(N144&lt;&gt;"Cancelled",L144&lt;=AsOf),1,0)</f>
        <v>0</v>
      </c>
      <c r="AC144" s="14" t="n">
        <f aca="false">IF(AND(N144&lt;&gt;"Cancelled",OR(ISNUMBER(M144),N144="Completed")),1,0)</f>
        <v>1</v>
      </c>
      <c r="AD144" s="14" t="n">
        <f aca="false">IF(AND(AC144=1,V144=1,ISNUMBER(M144)),M144-L144,"")</f>
        <v>-8</v>
      </c>
      <c r="AE144" s="14" t="str">
        <f aca="false">IF(AD144="","",IF(AD144&lt;0,"Early",IF(AD144=0,"On Time","Late")))</f>
        <v>Early</v>
      </c>
      <c r="AF144" s="14" t="n">
        <f aca="false">IF(AND(T144=1,ISNUMBER(J144),N144&lt;&gt;"Cancelled"),J144-B144,"")</f>
        <v>5</v>
      </c>
      <c r="AG144" s="14" t="n">
        <f aca="false">IF(AND(AF144&lt;&gt;"",Z144&lt;&gt;""),K144-J144,"")</f>
        <v>1</v>
      </c>
      <c r="AH144" s="14" t="n">
        <f aca="false">IF(AND(Z144&lt;&gt;"",AD144&lt;&gt;""),M144-K144,"")</f>
        <v>3</v>
      </c>
      <c r="AI144" s="14" t="n">
        <f aca="false">IF(Z144&lt;&gt;"",K144-B144,"")</f>
        <v>6</v>
      </c>
      <c r="AJ144" s="14" t="n">
        <f aca="false">IF(AND(N144="Completed",AD144&lt;&gt;""),M144-B144,"")</f>
        <v>9</v>
      </c>
      <c r="AK144" s="14" t="str">
        <f aca="false">IF(N144="Cancelled","Cancelled",IF(N144="Completed","Completed",IF(Y144=1,"Awaiting Installation",IF(ISNUMBER(J144),"In Transit","In Production"))))</f>
        <v>Completed</v>
      </c>
      <c r="AL144" s="18" t="n">
        <f aca="false">IF(AND(N144="Pending",OR(AND(Y144=0,I144&lt;AsOf),AND(Y144=1,L144&lt;AsOf))),1,0)</f>
        <v>0</v>
      </c>
      <c r="AM144" s="14" t="str">
        <f aca="false">IF(AL144=1,IF(Y144=0,AsOf-I144,AsOf-L144),"")</f>
        <v/>
      </c>
      <c r="AN144" s="14" t="str">
        <f aca="false">IF(AL144=1,IF(Y144=0,"Delivery","Installation"),"")</f>
        <v/>
      </c>
      <c r="AO144" s="14" t="n">
        <f aca="false">IF(AND(OR(fCat="All",F144=fCat),OR(fCust="All",D144=fCust),OR(fReg="All",E144=fReg)),1,0)</f>
        <v>1</v>
      </c>
      <c r="AP144" s="14" t="n">
        <f aca="false">IF(AND(AL144=1,AO144=1),AM144+ROW()/100000,0)</f>
        <v>0</v>
      </c>
    </row>
    <row r="145" customFormat="false" ht="15" hidden="false" customHeight="false" outlineLevel="0" collapsed="false">
      <c r="A145" s="14" t="s">
        <v>651</v>
      </c>
      <c r="B145" s="15" t="n">
        <v>46191</v>
      </c>
      <c r="C145" s="14" t="s">
        <v>285</v>
      </c>
      <c r="D145" s="14" t="s">
        <v>65</v>
      </c>
      <c r="E145" s="14" t="s">
        <v>91</v>
      </c>
      <c r="F145" s="14" t="s">
        <v>121</v>
      </c>
      <c r="G145" s="14" t="n">
        <v>1</v>
      </c>
      <c r="H145" s="16" t="n">
        <v>692000</v>
      </c>
      <c r="I145" s="15" t="n">
        <v>46221</v>
      </c>
      <c r="J145" s="15"/>
      <c r="K145" s="15"/>
      <c r="L145" s="15" t="n">
        <v>46226</v>
      </c>
      <c r="M145" s="15"/>
      <c r="N145" s="14" t="s">
        <v>328</v>
      </c>
      <c r="O145" s="14"/>
      <c r="P145" s="14"/>
      <c r="Q145" s="14"/>
      <c r="R145" s="14" t="s">
        <v>98</v>
      </c>
      <c r="S145" s="14" t="s">
        <v>745</v>
      </c>
      <c r="T145" s="14" t="n">
        <v>1</v>
      </c>
      <c r="U145" s="14" t="n">
        <v>1</v>
      </c>
      <c r="V145" s="14" t="n">
        <v>1</v>
      </c>
      <c r="W145" s="17" t="n">
        <f aca="false">DATE(YEAR(B145),MONTH(B145),1)</f>
        <v>46174</v>
      </c>
      <c r="X145" s="14" t="n">
        <f aca="false">IF(AND(N145&lt;&gt;"Cancelled",I145&lt;=AsOf),1,0)</f>
        <v>0</v>
      </c>
      <c r="Y145" s="14" t="n">
        <f aca="false">IF(AND(N145&lt;&gt;"Cancelled",OR(ISNUMBER(K145),N145="Completed")),1,0)</f>
        <v>0</v>
      </c>
      <c r="Z145" s="14" t="str">
        <f aca="false">IF(AND(Y145=1,U145=1,ISNUMBER(K145)),K145-I145,"")</f>
        <v/>
      </c>
      <c r="AA145" s="14" t="str">
        <f aca="false">IF(Z145="","",IF(Z145&lt;0,"Early",IF(Z145=0,"On Time","Late")))</f>
        <v/>
      </c>
      <c r="AB145" s="14" t="n">
        <f aca="false">IF(AND(N145&lt;&gt;"Cancelled",L145&lt;=AsOf),1,0)</f>
        <v>0</v>
      </c>
      <c r="AC145" s="14" t="n">
        <f aca="false">IF(AND(N145&lt;&gt;"Cancelled",OR(ISNUMBER(M145),N145="Completed")),1,0)</f>
        <v>0</v>
      </c>
      <c r="AD145" s="14" t="str">
        <f aca="false">IF(AND(AC145=1,V145=1,ISNUMBER(M145)),M145-L145,"")</f>
        <v/>
      </c>
      <c r="AE145" s="14" t="str">
        <f aca="false">IF(AD145="","",IF(AD145&lt;0,"Early",IF(AD145=0,"On Time","Late")))</f>
        <v/>
      </c>
      <c r="AF145" s="14" t="str">
        <f aca="false">IF(AND(T145=1,ISNUMBER(J145),N145&lt;&gt;"Cancelled"),J145-B145,"")</f>
        <v/>
      </c>
      <c r="AG145" s="14" t="str">
        <f aca="false">IF(AND(AF145&lt;&gt;"",Z145&lt;&gt;""),K145-J145,"")</f>
        <v/>
      </c>
      <c r="AH145" s="14" t="str">
        <f aca="false">IF(AND(Z145&lt;&gt;"",AD145&lt;&gt;""),M145-K145,"")</f>
        <v/>
      </c>
      <c r="AI145" s="14" t="str">
        <f aca="false">IF(Z145&lt;&gt;"",K145-B145,"")</f>
        <v/>
      </c>
      <c r="AJ145" s="14" t="str">
        <f aca="false">IF(AND(N145="Completed",AD145&lt;&gt;""),M145-B145,"")</f>
        <v/>
      </c>
      <c r="AK145" s="14" t="str">
        <f aca="false">IF(N145="Cancelled","Cancelled",IF(N145="Completed","Completed",IF(Y145=1,"Awaiting Installation",IF(ISNUMBER(J145),"In Transit","In Production"))))</f>
        <v>In Production</v>
      </c>
      <c r="AL145" s="18" t="n">
        <f aca="false">IF(AND(N145="Pending",OR(AND(Y145=0,I145&lt;AsOf),AND(Y145=1,L145&lt;AsOf))),1,0)</f>
        <v>0</v>
      </c>
      <c r="AM145" s="14" t="str">
        <f aca="false">IF(AL145=1,IF(Y145=0,AsOf-I145,AsOf-L145),"")</f>
        <v/>
      </c>
      <c r="AN145" s="14" t="str">
        <f aca="false">IF(AL145=1,IF(Y145=0,"Delivery","Installation"),"")</f>
        <v/>
      </c>
      <c r="AO145" s="14" t="n">
        <f aca="false">IF(AND(OR(fCat="All",F145=fCat),OR(fCust="All",D145=fCust),OR(fReg="All",E145=fReg)),1,0)</f>
        <v>1</v>
      </c>
      <c r="AP145" s="14" t="n">
        <f aca="false">IF(AND(AL145=1,AO145=1),AM145+ROW()/100000,0)</f>
        <v>0</v>
      </c>
    </row>
    <row r="146" customFormat="false" ht="15" hidden="false" customHeight="false" outlineLevel="0" collapsed="false">
      <c r="A146" s="14" t="s">
        <v>755</v>
      </c>
      <c r="B146" s="15" t="n">
        <v>46191</v>
      </c>
      <c r="C146" s="14" t="s">
        <v>655</v>
      </c>
      <c r="D146" s="14" t="s">
        <v>149</v>
      </c>
      <c r="E146" s="14" t="s">
        <v>91</v>
      </c>
      <c r="F146" s="14" t="s">
        <v>160</v>
      </c>
      <c r="G146" s="14" t="n">
        <v>1</v>
      </c>
      <c r="H146" s="16" t="n">
        <v>103000</v>
      </c>
      <c r="I146" s="15" t="n">
        <v>46201</v>
      </c>
      <c r="J146" s="15" t="n">
        <v>46199</v>
      </c>
      <c r="K146" s="15" t="n">
        <v>46201</v>
      </c>
      <c r="L146" s="15" t="n">
        <v>46204</v>
      </c>
      <c r="M146" s="15" t="n">
        <v>46202</v>
      </c>
      <c r="N146" s="14" t="s">
        <v>75</v>
      </c>
      <c r="O146" s="14"/>
      <c r="P146" s="14"/>
      <c r="Q146" s="14"/>
      <c r="R146" s="14"/>
      <c r="S146" s="14" t="s">
        <v>745</v>
      </c>
      <c r="T146" s="14" t="n">
        <v>1</v>
      </c>
      <c r="U146" s="14" t="n">
        <v>1</v>
      </c>
      <c r="V146" s="14" t="n">
        <v>1</v>
      </c>
      <c r="W146" s="17" t="n">
        <f aca="false">DATE(YEAR(B146),MONTH(B146),1)</f>
        <v>46174</v>
      </c>
      <c r="X146" s="14" t="n">
        <f aca="false">IF(AND(N146&lt;&gt;"Cancelled",I146&lt;=AsOf),1,0)</f>
        <v>1</v>
      </c>
      <c r="Y146" s="14" t="n">
        <f aca="false">IF(AND(N146&lt;&gt;"Cancelled",OR(ISNUMBER(K146),N146="Completed")),1,0)</f>
        <v>1</v>
      </c>
      <c r="Z146" s="14" t="n">
        <f aca="false">IF(AND(Y146=1,U146=1,ISNUMBER(K146)),K146-I146,"")</f>
        <v>0</v>
      </c>
      <c r="AA146" s="14" t="str">
        <f aca="false">IF(Z146="","",IF(Z146&lt;0,"Early",IF(Z146=0,"On Time","Late")))</f>
        <v>On Time</v>
      </c>
      <c r="AB146" s="14" t="n">
        <f aca="false">IF(AND(N146&lt;&gt;"Cancelled",L146&lt;=AsOf),1,0)</f>
        <v>0</v>
      </c>
      <c r="AC146" s="14" t="n">
        <f aca="false">IF(AND(N146&lt;&gt;"Cancelled",OR(ISNUMBER(M146),N146="Completed")),1,0)</f>
        <v>1</v>
      </c>
      <c r="AD146" s="14" t="n">
        <f aca="false">IF(AND(AC146=1,V146=1,ISNUMBER(M146)),M146-L146,"")</f>
        <v>-2</v>
      </c>
      <c r="AE146" s="14" t="str">
        <f aca="false">IF(AD146="","",IF(AD146&lt;0,"Early",IF(AD146=0,"On Time","Late")))</f>
        <v>Early</v>
      </c>
      <c r="AF146" s="14" t="n">
        <f aca="false">IF(AND(T146=1,ISNUMBER(J146),N146&lt;&gt;"Cancelled"),J146-B146,"")</f>
        <v>8</v>
      </c>
      <c r="AG146" s="14" t="n">
        <f aca="false">IF(AND(AF146&lt;&gt;"",Z146&lt;&gt;""),K146-J146,"")</f>
        <v>2</v>
      </c>
      <c r="AH146" s="14" t="n">
        <f aca="false">IF(AND(Z146&lt;&gt;"",AD146&lt;&gt;""),M146-K146,"")</f>
        <v>1</v>
      </c>
      <c r="AI146" s="14" t="n">
        <f aca="false">IF(Z146&lt;&gt;"",K146-B146,"")</f>
        <v>10</v>
      </c>
      <c r="AJ146" s="14" t="n">
        <f aca="false">IF(AND(N146="Completed",AD146&lt;&gt;""),M146-B146,"")</f>
        <v>11</v>
      </c>
      <c r="AK146" s="14" t="str">
        <f aca="false">IF(N146="Cancelled","Cancelled",IF(N146="Completed","Completed",IF(Y146=1,"Awaiting Installation",IF(ISNUMBER(J146),"In Transit","In Production"))))</f>
        <v>Completed</v>
      </c>
      <c r="AL146" s="18" t="n">
        <f aca="false">IF(AND(N146="Pending",OR(AND(Y146=0,I146&lt;AsOf),AND(Y146=1,L146&lt;AsOf))),1,0)</f>
        <v>0</v>
      </c>
      <c r="AM146" s="14" t="str">
        <f aca="false">IF(AL146=1,IF(Y146=0,AsOf-I146,AsOf-L146),"")</f>
        <v/>
      </c>
      <c r="AN146" s="14" t="str">
        <f aca="false">IF(AL146=1,IF(Y146=0,"Delivery","Installation"),"")</f>
        <v/>
      </c>
      <c r="AO146" s="14" t="n">
        <f aca="false">IF(AND(OR(fCat="All",F146=fCat),OR(fCust="All",D146=fCust),OR(fReg="All",E146=fReg)),1,0)</f>
        <v>1</v>
      </c>
      <c r="AP146" s="14" t="n">
        <f aca="false">IF(AND(AL146=1,AO146=1),AM146+ROW()/100000,0)</f>
        <v>0</v>
      </c>
    </row>
    <row r="147" customFormat="false" ht="15" hidden="false" customHeight="false" outlineLevel="0" collapsed="false">
      <c r="A147" s="14" t="s">
        <v>657</v>
      </c>
      <c r="B147" s="15" t="n">
        <v>46191</v>
      </c>
      <c r="C147" s="14" t="s">
        <v>89</v>
      </c>
      <c r="D147" s="14" t="s">
        <v>65</v>
      </c>
      <c r="E147" s="14" t="s">
        <v>91</v>
      </c>
      <c r="F147" s="14" t="s">
        <v>67</v>
      </c>
      <c r="G147" s="14" t="n">
        <v>2</v>
      </c>
      <c r="H147" s="16" t="n">
        <v>1758000</v>
      </c>
      <c r="I147" s="15" t="n">
        <v>46209</v>
      </c>
      <c r="J147" s="15"/>
      <c r="K147" s="15"/>
      <c r="L147" s="15" t="n">
        <v>46214</v>
      </c>
      <c r="M147" s="15"/>
      <c r="N147" s="14" t="s">
        <v>328</v>
      </c>
      <c r="O147" s="14"/>
      <c r="P147" s="14"/>
      <c r="Q147" s="14"/>
      <c r="R147" s="14"/>
      <c r="S147" s="14" t="s">
        <v>745</v>
      </c>
      <c r="T147" s="14" t="n">
        <v>1</v>
      </c>
      <c r="U147" s="14" t="n">
        <v>1</v>
      </c>
      <c r="V147" s="14" t="n">
        <v>1</v>
      </c>
      <c r="W147" s="17" t="n">
        <f aca="false">DATE(YEAR(B147),MONTH(B147),1)</f>
        <v>46174</v>
      </c>
      <c r="X147" s="14" t="n">
        <f aca="false">IF(AND(N147&lt;&gt;"Cancelled",I147&lt;=AsOf),1,0)</f>
        <v>0</v>
      </c>
      <c r="Y147" s="14" t="n">
        <f aca="false">IF(AND(N147&lt;&gt;"Cancelled",OR(ISNUMBER(K147),N147="Completed")),1,0)</f>
        <v>0</v>
      </c>
      <c r="Z147" s="14" t="str">
        <f aca="false">IF(AND(Y147=1,U147=1,ISNUMBER(K147)),K147-I147,"")</f>
        <v/>
      </c>
      <c r="AA147" s="14" t="str">
        <f aca="false">IF(Z147="","",IF(Z147&lt;0,"Early",IF(Z147=0,"On Time","Late")))</f>
        <v/>
      </c>
      <c r="AB147" s="14" t="n">
        <f aca="false">IF(AND(N147&lt;&gt;"Cancelled",L147&lt;=AsOf),1,0)</f>
        <v>0</v>
      </c>
      <c r="AC147" s="14" t="n">
        <f aca="false">IF(AND(N147&lt;&gt;"Cancelled",OR(ISNUMBER(M147),N147="Completed")),1,0)</f>
        <v>0</v>
      </c>
      <c r="AD147" s="14" t="str">
        <f aca="false">IF(AND(AC147=1,V147=1,ISNUMBER(M147)),M147-L147,"")</f>
        <v/>
      </c>
      <c r="AE147" s="14" t="str">
        <f aca="false">IF(AD147="","",IF(AD147&lt;0,"Early",IF(AD147=0,"On Time","Late")))</f>
        <v/>
      </c>
      <c r="AF147" s="14" t="str">
        <f aca="false">IF(AND(T147=1,ISNUMBER(J147),N147&lt;&gt;"Cancelled"),J147-B147,"")</f>
        <v/>
      </c>
      <c r="AG147" s="14" t="str">
        <f aca="false">IF(AND(AF147&lt;&gt;"",Z147&lt;&gt;""),K147-J147,"")</f>
        <v/>
      </c>
      <c r="AH147" s="14" t="str">
        <f aca="false">IF(AND(Z147&lt;&gt;"",AD147&lt;&gt;""),M147-K147,"")</f>
        <v/>
      </c>
      <c r="AI147" s="14" t="str">
        <f aca="false">IF(Z147&lt;&gt;"",K147-B147,"")</f>
        <v/>
      </c>
      <c r="AJ147" s="14" t="str">
        <f aca="false">IF(AND(N147="Completed",AD147&lt;&gt;""),M147-B147,"")</f>
        <v/>
      </c>
      <c r="AK147" s="14" t="str">
        <f aca="false">IF(N147="Cancelled","Cancelled",IF(N147="Completed","Completed",IF(Y147=1,"Awaiting Installation",IF(ISNUMBER(J147),"In Transit","In Production"))))</f>
        <v>In Production</v>
      </c>
      <c r="AL147" s="18" t="n">
        <f aca="false">IF(AND(N147="Pending",OR(AND(Y147=0,I147&lt;AsOf),AND(Y147=1,L147&lt;AsOf))),1,0)</f>
        <v>0</v>
      </c>
      <c r="AM147" s="14" t="str">
        <f aca="false">IF(AL147=1,IF(Y147=0,AsOf-I147,AsOf-L147),"")</f>
        <v/>
      </c>
      <c r="AN147" s="14" t="str">
        <f aca="false">IF(AL147=1,IF(Y147=0,"Delivery","Installation"),"")</f>
        <v/>
      </c>
      <c r="AO147" s="14" t="n">
        <f aca="false">IF(AND(OR(fCat="All",F147=fCat),OR(fCust="All",D147=fCust),OR(fReg="All",E147=fReg)),1,0)</f>
        <v>1</v>
      </c>
      <c r="AP147" s="14" t="n">
        <f aca="false">IF(AND(AL147=1,AO147=1),AM147+ROW()/100000,0)</f>
        <v>0</v>
      </c>
    </row>
    <row r="148" customFormat="false" ht="15" hidden="false" customHeight="false" outlineLevel="0" collapsed="false">
      <c r="A148" s="14" t="s">
        <v>661</v>
      </c>
      <c r="B148" s="15" t="n">
        <v>46192</v>
      </c>
      <c r="C148" s="14" t="s">
        <v>662</v>
      </c>
      <c r="D148" s="14" t="s">
        <v>149</v>
      </c>
      <c r="E148" s="14" t="s">
        <v>66</v>
      </c>
      <c r="F148" s="14" t="s">
        <v>160</v>
      </c>
      <c r="G148" s="14" t="n">
        <v>1</v>
      </c>
      <c r="H148" s="16" t="n">
        <v>165000</v>
      </c>
      <c r="I148" s="15" t="n">
        <v>46206</v>
      </c>
      <c r="J148" s="15" t="n">
        <v>46199</v>
      </c>
      <c r="K148" s="15"/>
      <c r="L148" s="15" t="n">
        <v>46209</v>
      </c>
      <c r="M148" s="15"/>
      <c r="N148" s="14" t="s">
        <v>328</v>
      </c>
      <c r="O148" s="14"/>
      <c r="P148" s="14"/>
      <c r="Q148" s="14"/>
      <c r="R148" s="14"/>
      <c r="S148" s="14" t="s">
        <v>745</v>
      </c>
      <c r="T148" s="14" t="n">
        <v>1</v>
      </c>
      <c r="U148" s="14" t="n">
        <v>1</v>
      </c>
      <c r="V148" s="14" t="n">
        <v>1</v>
      </c>
      <c r="W148" s="17" t="n">
        <f aca="false">DATE(YEAR(B148),MONTH(B148),1)</f>
        <v>46174</v>
      </c>
      <c r="X148" s="14" t="n">
        <f aca="false">IF(AND(N148&lt;&gt;"Cancelled",I148&lt;=AsOf),1,0)</f>
        <v>0</v>
      </c>
      <c r="Y148" s="14" t="n">
        <f aca="false">IF(AND(N148&lt;&gt;"Cancelled",OR(ISNUMBER(K148),N148="Completed")),1,0)</f>
        <v>0</v>
      </c>
      <c r="Z148" s="14" t="str">
        <f aca="false">IF(AND(Y148=1,U148=1,ISNUMBER(K148)),K148-I148,"")</f>
        <v/>
      </c>
      <c r="AA148" s="14" t="str">
        <f aca="false">IF(Z148="","",IF(Z148&lt;0,"Early",IF(Z148=0,"On Time","Late")))</f>
        <v/>
      </c>
      <c r="AB148" s="14" t="n">
        <f aca="false">IF(AND(N148&lt;&gt;"Cancelled",L148&lt;=AsOf),1,0)</f>
        <v>0</v>
      </c>
      <c r="AC148" s="14" t="n">
        <f aca="false">IF(AND(N148&lt;&gt;"Cancelled",OR(ISNUMBER(M148),N148="Completed")),1,0)</f>
        <v>0</v>
      </c>
      <c r="AD148" s="14" t="str">
        <f aca="false">IF(AND(AC148=1,V148=1,ISNUMBER(M148)),M148-L148,"")</f>
        <v/>
      </c>
      <c r="AE148" s="14" t="str">
        <f aca="false">IF(AD148="","",IF(AD148&lt;0,"Early",IF(AD148=0,"On Time","Late")))</f>
        <v/>
      </c>
      <c r="AF148" s="14" t="n">
        <f aca="false">IF(AND(T148=1,ISNUMBER(J148),N148&lt;&gt;"Cancelled"),J148-B148,"")</f>
        <v>7</v>
      </c>
      <c r="AG148" s="14" t="str">
        <f aca="false">IF(AND(AF148&lt;&gt;"",Z148&lt;&gt;""),K148-J148,"")</f>
        <v/>
      </c>
      <c r="AH148" s="14" t="str">
        <f aca="false">IF(AND(Z148&lt;&gt;"",AD148&lt;&gt;""),M148-K148,"")</f>
        <v/>
      </c>
      <c r="AI148" s="14" t="str">
        <f aca="false">IF(Z148&lt;&gt;"",K148-B148,"")</f>
        <v/>
      </c>
      <c r="AJ148" s="14" t="str">
        <f aca="false">IF(AND(N148="Completed",AD148&lt;&gt;""),M148-B148,"")</f>
        <v/>
      </c>
      <c r="AK148" s="14" t="str">
        <f aca="false">IF(N148="Cancelled","Cancelled",IF(N148="Completed","Completed",IF(Y148=1,"Awaiting Installation",IF(ISNUMBER(J148),"In Transit","In Production"))))</f>
        <v>In Transit</v>
      </c>
      <c r="AL148" s="18" t="n">
        <f aca="false">IF(AND(N148="Pending",OR(AND(Y148=0,I148&lt;AsOf),AND(Y148=1,L148&lt;AsOf))),1,0)</f>
        <v>0</v>
      </c>
      <c r="AM148" s="14" t="str">
        <f aca="false">IF(AL148=1,IF(Y148=0,AsOf-I148,AsOf-L148),"")</f>
        <v/>
      </c>
      <c r="AN148" s="14" t="str">
        <f aca="false">IF(AL148=1,IF(Y148=0,"Delivery","Installation"),"")</f>
        <v/>
      </c>
      <c r="AO148" s="14" t="n">
        <f aca="false">IF(AND(OR(fCat="All",F148=fCat),OR(fCust="All",D148=fCust),OR(fReg="All",E148=fReg)),1,0)</f>
        <v>1</v>
      </c>
      <c r="AP148" s="14" t="n">
        <f aca="false">IF(AND(AL148=1,AO148=1),AM148+ROW()/100000,0)</f>
        <v>0</v>
      </c>
    </row>
    <row r="149" customFormat="false" ht="15" hidden="false" customHeight="false" outlineLevel="0" collapsed="false">
      <c r="A149" s="14" t="s">
        <v>664</v>
      </c>
      <c r="B149" s="15" t="n">
        <v>46193</v>
      </c>
      <c r="C149" s="14" t="s">
        <v>331</v>
      </c>
      <c r="D149" s="14" t="s">
        <v>90</v>
      </c>
      <c r="E149" s="14" t="s">
        <v>102</v>
      </c>
      <c r="F149" s="14" t="s">
        <v>160</v>
      </c>
      <c r="G149" s="14" t="n">
        <v>2</v>
      </c>
      <c r="H149" s="16" t="n">
        <v>432000</v>
      </c>
      <c r="I149" s="15" t="n">
        <v>46205</v>
      </c>
      <c r="J149" s="15" t="n">
        <v>46198</v>
      </c>
      <c r="K149" s="15"/>
      <c r="L149" s="15" t="n">
        <v>46208</v>
      </c>
      <c r="M149" s="15"/>
      <c r="N149" s="14" t="s">
        <v>188</v>
      </c>
      <c r="O149" s="14"/>
      <c r="P149" s="14"/>
      <c r="Q149" s="14" t="s">
        <v>210</v>
      </c>
      <c r="R149" s="14" t="s">
        <v>226</v>
      </c>
      <c r="S149" s="14" t="s">
        <v>745</v>
      </c>
      <c r="T149" s="14" t="n">
        <v>1</v>
      </c>
      <c r="U149" s="14" t="n">
        <v>1</v>
      </c>
      <c r="V149" s="14" t="n">
        <v>1</v>
      </c>
      <c r="W149" s="17" t="n">
        <f aca="false">DATE(YEAR(B149),MONTH(B149),1)</f>
        <v>46174</v>
      </c>
      <c r="X149" s="14" t="n">
        <f aca="false">IF(AND(N149&lt;&gt;"Cancelled",I149&lt;=AsOf),1,0)</f>
        <v>0</v>
      </c>
      <c r="Y149" s="14" t="n">
        <f aca="false">IF(AND(N149&lt;&gt;"Cancelled",OR(ISNUMBER(K149),N149="Completed")),1,0)</f>
        <v>0</v>
      </c>
      <c r="Z149" s="14" t="str">
        <f aca="false">IF(AND(Y149=1,U149=1,ISNUMBER(K149)),K149-I149,"")</f>
        <v/>
      </c>
      <c r="AA149" s="14" t="str">
        <f aca="false">IF(Z149="","",IF(Z149&lt;0,"Early",IF(Z149=0,"On Time","Late")))</f>
        <v/>
      </c>
      <c r="AB149" s="14" t="n">
        <f aca="false">IF(AND(N149&lt;&gt;"Cancelled",L149&lt;=AsOf),1,0)</f>
        <v>0</v>
      </c>
      <c r="AC149" s="14" t="n">
        <f aca="false">IF(AND(N149&lt;&gt;"Cancelled",OR(ISNUMBER(M149),N149="Completed")),1,0)</f>
        <v>0</v>
      </c>
      <c r="AD149" s="14" t="str">
        <f aca="false">IF(AND(AC149=1,V149=1,ISNUMBER(M149)),M149-L149,"")</f>
        <v/>
      </c>
      <c r="AE149" s="14" t="str">
        <f aca="false">IF(AD149="","",IF(AD149&lt;0,"Early",IF(AD149=0,"On Time","Late")))</f>
        <v/>
      </c>
      <c r="AF149" s="14" t="str">
        <f aca="false">IF(AND(T149=1,ISNUMBER(J149),N149&lt;&gt;"Cancelled"),J149-B149,"")</f>
        <v/>
      </c>
      <c r="AG149" s="14" t="str">
        <f aca="false">IF(AND(AF149&lt;&gt;"",Z149&lt;&gt;""),K149-J149,"")</f>
        <v/>
      </c>
      <c r="AH149" s="14" t="str">
        <f aca="false">IF(AND(Z149&lt;&gt;"",AD149&lt;&gt;""),M149-K149,"")</f>
        <v/>
      </c>
      <c r="AI149" s="14" t="str">
        <f aca="false">IF(Z149&lt;&gt;"",K149-B149,"")</f>
        <v/>
      </c>
      <c r="AJ149" s="14" t="str">
        <f aca="false">IF(AND(N149="Completed",AD149&lt;&gt;""),M149-B149,"")</f>
        <v/>
      </c>
      <c r="AK149" s="14" t="str">
        <f aca="false">IF(N149="Cancelled","Cancelled",IF(N149="Completed","Completed",IF(Y149=1,"Awaiting Installation",IF(ISNUMBER(J149),"In Transit","In Production"))))</f>
        <v>Cancelled</v>
      </c>
      <c r="AL149" s="18" t="n">
        <f aca="false">IF(AND(N149="Pending",OR(AND(Y149=0,I149&lt;AsOf),AND(Y149=1,L149&lt;AsOf))),1,0)</f>
        <v>0</v>
      </c>
      <c r="AM149" s="14" t="str">
        <f aca="false">IF(AL149=1,IF(Y149=0,AsOf-I149,AsOf-L149),"")</f>
        <v/>
      </c>
      <c r="AN149" s="14" t="str">
        <f aca="false">IF(AL149=1,IF(Y149=0,"Delivery","Installation"),"")</f>
        <v/>
      </c>
      <c r="AO149" s="14" t="n">
        <f aca="false">IF(AND(OR(fCat="All",F149=fCat),OR(fCust="All",D149=fCust),OR(fReg="All",E149=fReg)),1,0)</f>
        <v>1</v>
      </c>
      <c r="AP149" s="14" t="n">
        <f aca="false">IF(AND(AL149=1,AO149=1),AM149+ROW()/100000,0)</f>
        <v>0</v>
      </c>
    </row>
    <row r="150" customFormat="false" ht="15" hidden="false" customHeight="false" outlineLevel="0" collapsed="false">
      <c r="A150" s="14" t="s">
        <v>667</v>
      </c>
      <c r="B150" s="15" t="n">
        <v>46193</v>
      </c>
      <c r="C150" s="14" t="s">
        <v>432</v>
      </c>
      <c r="D150" s="14" t="s">
        <v>149</v>
      </c>
      <c r="E150" s="14" t="s">
        <v>91</v>
      </c>
      <c r="F150" s="14" t="s">
        <v>160</v>
      </c>
      <c r="G150" s="14" t="n">
        <v>1</v>
      </c>
      <c r="H150" s="16" t="n">
        <v>115000</v>
      </c>
      <c r="I150" s="15" t="n">
        <v>46203</v>
      </c>
      <c r="J150" s="15" t="n">
        <v>46197</v>
      </c>
      <c r="K150" s="15" t="n">
        <v>46198</v>
      </c>
      <c r="L150" s="15" t="n">
        <v>46206</v>
      </c>
      <c r="M150" s="15" t="n">
        <v>46203</v>
      </c>
      <c r="N150" s="14" t="s">
        <v>75</v>
      </c>
      <c r="O150" s="14"/>
      <c r="P150" s="14"/>
      <c r="Q150" s="14"/>
      <c r="R150" s="14" t="s">
        <v>86</v>
      </c>
      <c r="S150" s="14" t="s">
        <v>745</v>
      </c>
      <c r="T150" s="14" t="n">
        <v>1</v>
      </c>
      <c r="U150" s="14" t="n">
        <v>1</v>
      </c>
      <c r="V150" s="14" t="n">
        <v>1</v>
      </c>
      <c r="W150" s="17" t="n">
        <f aca="false">DATE(YEAR(B150),MONTH(B150),1)</f>
        <v>46174</v>
      </c>
      <c r="X150" s="14" t="n">
        <f aca="false">IF(AND(N150&lt;&gt;"Cancelled",I150&lt;=AsOf),1,0)</f>
        <v>1</v>
      </c>
      <c r="Y150" s="14" t="n">
        <f aca="false">IF(AND(N150&lt;&gt;"Cancelled",OR(ISNUMBER(K150),N150="Completed")),1,0)</f>
        <v>1</v>
      </c>
      <c r="Z150" s="14" t="n">
        <f aca="false">IF(AND(Y150=1,U150=1,ISNUMBER(K150)),K150-I150,"")</f>
        <v>-5</v>
      </c>
      <c r="AA150" s="14" t="str">
        <f aca="false">IF(Z150="","",IF(Z150&lt;0,"Early",IF(Z150=0,"On Time","Late")))</f>
        <v>Early</v>
      </c>
      <c r="AB150" s="14" t="n">
        <f aca="false">IF(AND(N150&lt;&gt;"Cancelled",L150&lt;=AsOf),1,0)</f>
        <v>0</v>
      </c>
      <c r="AC150" s="14" t="n">
        <f aca="false">IF(AND(N150&lt;&gt;"Cancelled",OR(ISNUMBER(M150),N150="Completed")),1,0)</f>
        <v>1</v>
      </c>
      <c r="AD150" s="14" t="n">
        <f aca="false">IF(AND(AC150=1,V150=1,ISNUMBER(M150)),M150-L150,"")</f>
        <v>-3</v>
      </c>
      <c r="AE150" s="14" t="str">
        <f aca="false">IF(AD150="","",IF(AD150&lt;0,"Early",IF(AD150=0,"On Time","Late")))</f>
        <v>Early</v>
      </c>
      <c r="AF150" s="14" t="n">
        <f aca="false">IF(AND(T150=1,ISNUMBER(J150),N150&lt;&gt;"Cancelled"),J150-B150,"")</f>
        <v>4</v>
      </c>
      <c r="AG150" s="14" t="n">
        <f aca="false">IF(AND(AF150&lt;&gt;"",Z150&lt;&gt;""),K150-J150,"")</f>
        <v>1</v>
      </c>
      <c r="AH150" s="14" t="n">
        <f aca="false">IF(AND(Z150&lt;&gt;"",AD150&lt;&gt;""),M150-K150,"")</f>
        <v>5</v>
      </c>
      <c r="AI150" s="14" t="n">
        <f aca="false">IF(Z150&lt;&gt;"",K150-B150,"")</f>
        <v>5</v>
      </c>
      <c r="AJ150" s="14" t="n">
        <f aca="false">IF(AND(N150="Completed",AD150&lt;&gt;""),M150-B150,"")</f>
        <v>10</v>
      </c>
      <c r="AK150" s="14" t="str">
        <f aca="false">IF(N150="Cancelled","Cancelled",IF(N150="Completed","Completed",IF(Y150=1,"Awaiting Installation",IF(ISNUMBER(J150),"In Transit","In Production"))))</f>
        <v>Completed</v>
      </c>
      <c r="AL150" s="18" t="n">
        <f aca="false">IF(AND(N150="Pending",OR(AND(Y150=0,I150&lt;AsOf),AND(Y150=1,L150&lt;AsOf))),1,0)</f>
        <v>0</v>
      </c>
      <c r="AM150" s="14" t="str">
        <f aca="false">IF(AL150=1,IF(Y150=0,AsOf-I150,AsOf-L150),"")</f>
        <v/>
      </c>
      <c r="AN150" s="14" t="str">
        <f aca="false">IF(AL150=1,IF(Y150=0,"Delivery","Installation"),"")</f>
        <v/>
      </c>
      <c r="AO150" s="14" t="n">
        <f aca="false">IF(AND(OR(fCat="All",F150=fCat),OR(fCust="All",D150=fCust),OR(fReg="All",E150=fReg)),1,0)</f>
        <v>1</v>
      </c>
      <c r="AP150" s="14" t="n">
        <f aca="false">IF(AND(AL150=1,AO150=1),AM150+ROW()/100000,0)</f>
        <v>0</v>
      </c>
    </row>
    <row r="151" customFormat="false" ht="15" hidden="false" customHeight="false" outlineLevel="0" collapsed="false">
      <c r="A151" s="14" t="s">
        <v>669</v>
      </c>
      <c r="B151" s="15" t="n">
        <v>46195</v>
      </c>
      <c r="C151" s="14" t="s">
        <v>249</v>
      </c>
      <c r="D151" s="14" t="s">
        <v>90</v>
      </c>
      <c r="E151" s="14" t="s">
        <v>66</v>
      </c>
      <c r="F151" s="14" t="s">
        <v>67</v>
      </c>
      <c r="G151" s="14" t="n">
        <v>1</v>
      </c>
      <c r="H151" s="16" t="n">
        <v>396000</v>
      </c>
      <c r="I151" s="15" t="n">
        <v>46217</v>
      </c>
      <c r="J151" s="15"/>
      <c r="K151" s="15"/>
      <c r="L151" s="15" t="n">
        <v>46222</v>
      </c>
      <c r="M151" s="15"/>
      <c r="N151" s="14" t="s">
        <v>328</v>
      </c>
      <c r="O151" s="14"/>
      <c r="P151" s="14"/>
      <c r="Q151" s="14"/>
      <c r="R151" s="14" t="s">
        <v>226</v>
      </c>
      <c r="S151" s="14" t="s">
        <v>745</v>
      </c>
      <c r="T151" s="14" t="n">
        <v>1</v>
      </c>
      <c r="U151" s="14" t="n">
        <v>1</v>
      </c>
      <c r="V151" s="14" t="n">
        <v>1</v>
      </c>
      <c r="W151" s="17" t="n">
        <f aca="false">DATE(YEAR(B151),MONTH(B151),1)</f>
        <v>46174</v>
      </c>
      <c r="X151" s="14" t="n">
        <f aca="false">IF(AND(N151&lt;&gt;"Cancelled",I151&lt;=AsOf),1,0)</f>
        <v>0</v>
      </c>
      <c r="Y151" s="14" t="n">
        <f aca="false">IF(AND(N151&lt;&gt;"Cancelled",OR(ISNUMBER(K151),N151="Completed")),1,0)</f>
        <v>0</v>
      </c>
      <c r="Z151" s="14" t="str">
        <f aca="false">IF(AND(Y151=1,U151=1,ISNUMBER(K151)),K151-I151,"")</f>
        <v/>
      </c>
      <c r="AA151" s="14" t="str">
        <f aca="false">IF(Z151="","",IF(Z151&lt;0,"Early",IF(Z151=0,"On Time","Late")))</f>
        <v/>
      </c>
      <c r="AB151" s="14" t="n">
        <f aca="false">IF(AND(N151&lt;&gt;"Cancelled",L151&lt;=AsOf),1,0)</f>
        <v>0</v>
      </c>
      <c r="AC151" s="14" t="n">
        <f aca="false">IF(AND(N151&lt;&gt;"Cancelled",OR(ISNUMBER(M151),N151="Completed")),1,0)</f>
        <v>0</v>
      </c>
      <c r="AD151" s="14" t="str">
        <f aca="false">IF(AND(AC151=1,V151=1,ISNUMBER(M151)),M151-L151,"")</f>
        <v/>
      </c>
      <c r="AE151" s="14" t="str">
        <f aca="false">IF(AD151="","",IF(AD151&lt;0,"Early",IF(AD151=0,"On Time","Late")))</f>
        <v/>
      </c>
      <c r="AF151" s="14" t="str">
        <f aca="false">IF(AND(T151=1,ISNUMBER(J151),N151&lt;&gt;"Cancelled"),J151-B151,"")</f>
        <v/>
      </c>
      <c r="AG151" s="14" t="str">
        <f aca="false">IF(AND(AF151&lt;&gt;"",Z151&lt;&gt;""),K151-J151,"")</f>
        <v/>
      </c>
      <c r="AH151" s="14" t="str">
        <f aca="false">IF(AND(Z151&lt;&gt;"",AD151&lt;&gt;""),M151-K151,"")</f>
        <v/>
      </c>
      <c r="AI151" s="14" t="str">
        <f aca="false">IF(Z151&lt;&gt;"",K151-B151,"")</f>
        <v/>
      </c>
      <c r="AJ151" s="14" t="str">
        <f aca="false">IF(AND(N151="Completed",AD151&lt;&gt;""),M151-B151,"")</f>
        <v/>
      </c>
      <c r="AK151" s="14" t="str">
        <f aca="false">IF(N151="Cancelled","Cancelled",IF(N151="Completed","Completed",IF(Y151=1,"Awaiting Installation",IF(ISNUMBER(J151),"In Transit","In Production"))))</f>
        <v>In Production</v>
      </c>
      <c r="AL151" s="18" t="n">
        <f aca="false">IF(AND(N151="Pending",OR(AND(Y151=0,I151&lt;AsOf),AND(Y151=1,L151&lt;AsOf))),1,0)</f>
        <v>0</v>
      </c>
      <c r="AM151" s="14" t="str">
        <f aca="false">IF(AL151=1,IF(Y151=0,AsOf-I151,AsOf-L151),"")</f>
        <v/>
      </c>
      <c r="AN151" s="14" t="str">
        <f aca="false">IF(AL151=1,IF(Y151=0,"Delivery","Installation"),"")</f>
        <v/>
      </c>
      <c r="AO151" s="14" t="n">
        <f aca="false">IF(AND(OR(fCat="All",F151=fCat),OR(fCust="All",D151=fCust),OR(fReg="All",E151=fReg)),1,0)</f>
        <v>1</v>
      </c>
      <c r="AP151" s="14" t="n">
        <f aca="false">IF(AND(AL151=1,AO151=1),AM151+ROW()/100000,0)</f>
        <v>0</v>
      </c>
    </row>
    <row r="152" customFormat="false" ht="15" hidden="false" customHeight="false" outlineLevel="0" collapsed="false">
      <c r="A152" s="14" t="s">
        <v>673</v>
      </c>
      <c r="B152" s="15" t="n">
        <v>46196</v>
      </c>
      <c r="C152" s="14" t="s">
        <v>674</v>
      </c>
      <c r="D152" s="14" t="s">
        <v>90</v>
      </c>
      <c r="E152" s="14" t="s">
        <v>91</v>
      </c>
      <c r="F152" s="14" t="s">
        <v>67</v>
      </c>
      <c r="G152" s="14" t="n">
        <v>1</v>
      </c>
      <c r="H152" s="16" t="n">
        <v>698000</v>
      </c>
      <c r="I152" s="15" t="n">
        <v>46214</v>
      </c>
      <c r="J152" s="15"/>
      <c r="K152" s="15"/>
      <c r="L152" s="15" t="n">
        <v>46219</v>
      </c>
      <c r="M152" s="15"/>
      <c r="N152" s="14" t="s">
        <v>328</v>
      </c>
      <c r="O152" s="14"/>
      <c r="P152" s="14"/>
      <c r="Q152" s="14"/>
      <c r="R152" s="14" t="s">
        <v>226</v>
      </c>
      <c r="S152" s="14" t="s">
        <v>745</v>
      </c>
      <c r="T152" s="14" t="n">
        <v>1</v>
      </c>
      <c r="U152" s="14" t="n">
        <v>1</v>
      </c>
      <c r="V152" s="14" t="n">
        <v>1</v>
      </c>
      <c r="W152" s="17" t="n">
        <f aca="false">DATE(YEAR(B152),MONTH(B152),1)</f>
        <v>46174</v>
      </c>
      <c r="X152" s="14" t="n">
        <f aca="false">IF(AND(N152&lt;&gt;"Cancelled",I152&lt;=AsOf),1,0)</f>
        <v>0</v>
      </c>
      <c r="Y152" s="14" t="n">
        <f aca="false">IF(AND(N152&lt;&gt;"Cancelled",OR(ISNUMBER(K152),N152="Completed")),1,0)</f>
        <v>0</v>
      </c>
      <c r="Z152" s="14" t="str">
        <f aca="false">IF(AND(Y152=1,U152=1,ISNUMBER(K152)),K152-I152,"")</f>
        <v/>
      </c>
      <c r="AA152" s="14" t="str">
        <f aca="false">IF(Z152="","",IF(Z152&lt;0,"Early",IF(Z152=0,"On Time","Late")))</f>
        <v/>
      </c>
      <c r="AB152" s="14" t="n">
        <f aca="false">IF(AND(N152&lt;&gt;"Cancelled",L152&lt;=AsOf),1,0)</f>
        <v>0</v>
      </c>
      <c r="AC152" s="14" t="n">
        <f aca="false">IF(AND(N152&lt;&gt;"Cancelled",OR(ISNUMBER(M152),N152="Completed")),1,0)</f>
        <v>0</v>
      </c>
      <c r="AD152" s="14" t="str">
        <f aca="false">IF(AND(AC152=1,V152=1,ISNUMBER(M152)),M152-L152,"")</f>
        <v/>
      </c>
      <c r="AE152" s="14" t="str">
        <f aca="false">IF(AD152="","",IF(AD152&lt;0,"Early",IF(AD152=0,"On Time","Late")))</f>
        <v/>
      </c>
      <c r="AF152" s="14" t="str">
        <f aca="false">IF(AND(T152=1,ISNUMBER(J152),N152&lt;&gt;"Cancelled"),J152-B152,"")</f>
        <v/>
      </c>
      <c r="AG152" s="14" t="str">
        <f aca="false">IF(AND(AF152&lt;&gt;"",Z152&lt;&gt;""),K152-J152,"")</f>
        <v/>
      </c>
      <c r="AH152" s="14" t="str">
        <f aca="false">IF(AND(Z152&lt;&gt;"",AD152&lt;&gt;""),M152-K152,"")</f>
        <v/>
      </c>
      <c r="AI152" s="14" t="str">
        <f aca="false">IF(Z152&lt;&gt;"",K152-B152,"")</f>
        <v/>
      </c>
      <c r="AJ152" s="14" t="str">
        <f aca="false">IF(AND(N152="Completed",AD152&lt;&gt;""),M152-B152,"")</f>
        <v/>
      </c>
      <c r="AK152" s="14" t="str">
        <f aca="false">IF(N152="Cancelled","Cancelled",IF(N152="Completed","Completed",IF(Y152=1,"Awaiting Installation",IF(ISNUMBER(J152),"In Transit","In Production"))))</f>
        <v>In Production</v>
      </c>
      <c r="AL152" s="18" t="n">
        <f aca="false">IF(AND(N152="Pending",OR(AND(Y152=0,I152&lt;AsOf),AND(Y152=1,L152&lt;AsOf))),1,0)</f>
        <v>0</v>
      </c>
      <c r="AM152" s="14" t="str">
        <f aca="false">IF(AL152=1,IF(Y152=0,AsOf-I152,AsOf-L152),"")</f>
        <v/>
      </c>
      <c r="AN152" s="14" t="str">
        <f aca="false">IF(AL152=1,IF(Y152=0,"Delivery","Installation"),"")</f>
        <v/>
      </c>
      <c r="AO152" s="14" t="n">
        <f aca="false">IF(AND(OR(fCat="All",F152=fCat),OR(fCust="All",D152=fCust),OR(fReg="All",E152=fReg)),1,0)</f>
        <v>1</v>
      </c>
      <c r="AP152" s="14" t="n">
        <f aca="false">IF(AND(AL152=1,AO152=1),AM152+ROW()/100000,0)</f>
        <v>0</v>
      </c>
    </row>
    <row r="153" customFormat="false" ht="15" hidden="false" customHeight="false" outlineLevel="0" collapsed="false">
      <c r="A153" s="14" t="s">
        <v>677</v>
      </c>
      <c r="B153" s="15" t="n">
        <v>46196</v>
      </c>
      <c r="C153" s="14" t="s">
        <v>491</v>
      </c>
      <c r="D153" s="14" t="s">
        <v>90</v>
      </c>
      <c r="E153" s="14" t="s">
        <v>66</v>
      </c>
      <c r="F153" s="14" t="s">
        <v>121</v>
      </c>
      <c r="G153" s="14" t="n">
        <v>2</v>
      </c>
      <c r="H153" s="16" t="n">
        <v>2928000</v>
      </c>
      <c r="I153" s="15" t="n">
        <v>46230</v>
      </c>
      <c r="J153" s="15"/>
      <c r="K153" s="15"/>
      <c r="L153" s="15" t="n">
        <v>46235</v>
      </c>
      <c r="M153" s="15"/>
      <c r="N153" s="14" t="s">
        <v>328</v>
      </c>
      <c r="O153" s="14"/>
      <c r="P153" s="14"/>
      <c r="Q153" s="14"/>
      <c r="R153" s="14" t="s">
        <v>86</v>
      </c>
      <c r="S153" s="14" t="s">
        <v>745</v>
      </c>
      <c r="T153" s="14" t="n">
        <v>1</v>
      </c>
      <c r="U153" s="14" t="n">
        <v>1</v>
      </c>
      <c r="V153" s="14" t="n">
        <v>1</v>
      </c>
      <c r="W153" s="17" t="n">
        <f aca="false">DATE(YEAR(B153),MONTH(B153),1)</f>
        <v>46174</v>
      </c>
      <c r="X153" s="14" t="n">
        <f aca="false">IF(AND(N153&lt;&gt;"Cancelled",I153&lt;=AsOf),1,0)</f>
        <v>0</v>
      </c>
      <c r="Y153" s="14" t="n">
        <f aca="false">IF(AND(N153&lt;&gt;"Cancelled",OR(ISNUMBER(K153),N153="Completed")),1,0)</f>
        <v>0</v>
      </c>
      <c r="Z153" s="14" t="str">
        <f aca="false">IF(AND(Y153=1,U153=1,ISNUMBER(K153)),K153-I153,"")</f>
        <v/>
      </c>
      <c r="AA153" s="14" t="str">
        <f aca="false">IF(Z153="","",IF(Z153&lt;0,"Early",IF(Z153=0,"On Time","Late")))</f>
        <v/>
      </c>
      <c r="AB153" s="14" t="n">
        <f aca="false">IF(AND(N153&lt;&gt;"Cancelled",L153&lt;=AsOf),1,0)</f>
        <v>0</v>
      </c>
      <c r="AC153" s="14" t="n">
        <f aca="false">IF(AND(N153&lt;&gt;"Cancelled",OR(ISNUMBER(M153),N153="Completed")),1,0)</f>
        <v>0</v>
      </c>
      <c r="AD153" s="14" t="str">
        <f aca="false">IF(AND(AC153=1,V153=1,ISNUMBER(M153)),M153-L153,"")</f>
        <v/>
      </c>
      <c r="AE153" s="14" t="str">
        <f aca="false">IF(AD153="","",IF(AD153&lt;0,"Early",IF(AD153=0,"On Time","Late")))</f>
        <v/>
      </c>
      <c r="AF153" s="14" t="str">
        <f aca="false">IF(AND(T153=1,ISNUMBER(J153),N153&lt;&gt;"Cancelled"),J153-B153,"")</f>
        <v/>
      </c>
      <c r="AG153" s="14" t="str">
        <f aca="false">IF(AND(AF153&lt;&gt;"",Z153&lt;&gt;""),K153-J153,"")</f>
        <v/>
      </c>
      <c r="AH153" s="14" t="str">
        <f aca="false">IF(AND(Z153&lt;&gt;"",AD153&lt;&gt;""),M153-K153,"")</f>
        <v/>
      </c>
      <c r="AI153" s="14" t="str">
        <f aca="false">IF(Z153&lt;&gt;"",K153-B153,"")</f>
        <v/>
      </c>
      <c r="AJ153" s="14" t="str">
        <f aca="false">IF(AND(N153="Completed",AD153&lt;&gt;""),M153-B153,"")</f>
        <v/>
      </c>
      <c r="AK153" s="14" t="str">
        <f aca="false">IF(N153="Cancelled","Cancelled",IF(N153="Completed","Completed",IF(Y153=1,"Awaiting Installation",IF(ISNUMBER(J153),"In Transit","In Production"))))</f>
        <v>In Production</v>
      </c>
      <c r="AL153" s="18" t="n">
        <f aca="false">IF(AND(N153="Pending",OR(AND(Y153=0,I153&lt;AsOf),AND(Y153=1,L153&lt;AsOf))),1,0)</f>
        <v>0</v>
      </c>
      <c r="AM153" s="14" t="str">
        <f aca="false">IF(AL153=1,IF(Y153=0,AsOf-I153,AsOf-L153),"")</f>
        <v/>
      </c>
      <c r="AN153" s="14" t="str">
        <f aca="false">IF(AL153=1,IF(Y153=0,"Delivery","Installation"),"")</f>
        <v/>
      </c>
      <c r="AO153" s="14" t="n">
        <f aca="false">IF(AND(OR(fCat="All",F153=fCat),OR(fCust="All",D153=fCust),OR(fReg="All",E153=fReg)),1,0)</f>
        <v>1</v>
      </c>
      <c r="AP153" s="14" t="n">
        <f aca="false">IF(AND(AL153=1,AO153=1),AM153+ROW()/100000,0)</f>
        <v>0</v>
      </c>
    </row>
    <row r="154" customFormat="false" ht="15" hidden="false" customHeight="false" outlineLevel="0" collapsed="false">
      <c r="A154" s="14" t="s">
        <v>681</v>
      </c>
      <c r="B154" s="15" t="n">
        <v>46196</v>
      </c>
      <c r="C154" s="14" t="s">
        <v>682</v>
      </c>
      <c r="D154" s="14" t="s">
        <v>90</v>
      </c>
      <c r="E154" s="14" t="s">
        <v>102</v>
      </c>
      <c r="F154" s="14" t="s">
        <v>121</v>
      </c>
      <c r="G154" s="14" t="n">
        <v>1</v>
      </c>
      <c r="H154" s="16" t="n">
        <v>473000</v>
      </c>
      <c r="I154" s="15" t="n">
        <v>46228</v>
      </c>
      <c r="J154" s="15"/>
      <c r="K154" s="15"/>
      <c r="L154" s="15" t="n">
        <v>46233</v>
      </c>
      <c r="M154" s="15"/>
      <c r="N154" s="14" t="s">
        <v>328</v>
      </c>
      <c r="O154" s="14"/>
      <c r="P154" s="14"/>
      <c r="Q154" s="14"/>
      <c r="R154" s="14"/>
      <c r="S154" s="14" t="s">
        <v>745</v>
      </c>
      <c r="T154" s="14" t="n">
        <v>1</v>
      </c>
      <c r="U154" s="14" t="n">
        <v>1</v>
      </c>
      <c r="V154" s="14" t="n">
        <v>1</v>
      </c>
      <c r="W154" s="17" t="n">
        <f aca="false">DATE(YEAR(B154),MONTH(B154),1)</f>
        <v>46174</v>
      </c>
      <c r="X154" s="14" t="n">
        <f aca="false">IF(AND(N154&lt;&gt;"Cancelled",I154&lt;=AsOf),1,0)</f>
        <v>0</v>
      </c>
      <c r="Y154" s="14" t="n">
        <f aca="false">IF(AND(N154&lt;&gt;"Cancelled",OR(ISNUMBER(K154),N154="Completed")),1,0)</f>
        <v>0</v>
      </c>
      <c r="Z154" s="14" t="str">
        <f aca="false">IF(AND(Y154=1,U154=1,ISNUMBER(K154)),K154-I154,"")</f>
        <v/>
      </c>
      <c r="AA154" s="14" t="str">
        <f aca="false">IF(Z154="","",IF(Z154&lt;0,"Early",IF(Z154=0,"On Time","Late")))</f>
        <v/>
      </c>
      <c r="AB154" s="14" t="n">
        <f aca="false">IF(AND(N154&lt;&gt;"Cancelled",L154&lt;=AsOf),1,0)</f>
        <v>0</v>
      </c>
      <c r="AC154" s="14" t="n">
        <f aca="false">IF(AND(N154&lt;&gt;"Cancelled",OR(ISNUMBER(M154),N154="Completed")),1,0)</f>
        <v>0</v>
      </c>
      <c r="AD154" s="14" t="str">
        <f aca="false">IF(AND(AC154=1,V154=1,ISNUMBER(M154)),M154-L154,"")</f>
        <v/>
      </c>
      <c r="AE154" s="14" t="str">
        <f aca="false">IF(AD154="","",IF(AD154&lt;0,"Early",IF(AD154=0,"On Time","Late")))</f>
        <v/>
      </c>
      <c r="AF154" s="14" t="str">
        <f aca="false">IF(AND(T154=1,ISNUMBER(J154),N154&lt;&gt;"Cancelled"),J154-B154,"")</f>
        <v/>
      </c>
      <c r="AG154" s="14" t="str">
        <f aca="false">IF(AND(AF154&lt;&gt;"",Z154&lt;&gt;""),K154-J154,"")</f>
        <v/>
      </c>
      <c r="AH154" s="14" t="str">
        <f aca="false">IF(AND(Z154&lt;&gt;"",AD154&lt;&gt;""),M154-K154,"")</f>
        <v/>
      </c>
      <c r="AI154" s="14" t="str">
        <f aca="false">IF(Z154&lt;&gt;"",K154-B154,"")</f>
        <v/>
      </c>
      <c r="AJ154" s="14" t="str">
        <f aca="false">IF(AND(N154="Completed",AD154&lt;&gt;""),M154-B154,"")</f>
        <v/>
      </c>
      <c r="AK154" s="14" t="str">
        <f aca="false">IF(N154="Cancelled","Cancelled",IF(N154="Completed","Completed",IF(Y154=1,"Awaiting Installation",IF(ISNUMBER(J154),"In Transit","In Production"))))</f>
        <v>In Production</v>
      </c>
      <c r="AL154" s="18" t="n">
        <f aca="false">IF(AND(N154="Pending",OR(AND(Y154=0,I154&lt;AsOf),AND(Y154=1,L154&lt;AsOf))),1,0)</f>
        <v>0</v>
      </c>
      <c r="AM154" s="14" t="str">
        <f aca="false">IF(AL154=1,IF(Y154=0,AsOf-I154,AsOf-L154),"")</f>
        <v/>
      </c>
      <c r="AN154" s="14" t="str">
        <f aca="false">IF(AL154=1,IF(Y154=0,"Delivery","Installation"),"")</f>
        <v/>
      </c>
      <c r="AO154" s="14" t="n">
        <f aca="false">IF(AND(OR(fCat="All",F154=fCat),OR(fCust="All",D154=fCust),OR(fReg="All",E154=fReg)),1,0)</f>
        <v>1</v>
      </c>
      <c r="AP154" s="14" t="n">
        <f aca="false">IF(AND(AL154=1,AO154=1),AM154+ROW()/100000,0)</f>
        <v>0</v>
      </c>
    </row>
    <row r="155" customFormat="false" ht="15" hidden="false" customHeight="false" outlineLevel="0" collapsed="false">
      <c r="A155" s="14" t="s">
        <v>686</v>
      </c>
      <c r="B155" s="15" t="n">
        <v>46196</v>
      </c>
      <c r="C155" s="14" t="s">
        <v>637</v>
      </c>
      <c r="D155" s="14" t="s">
        <v>90</v>
      </c>
      <c r="E155" s="14" t="s">
        <v>91</v>
      </c>
      <c r="F155" s="14" t="s">
        <v>67</v>
      </c>
      <c r="G155" s="14" t="n">
        <v>2</v>
      </c>
      <c r="H155" s="16" t="n">
        <v>1614000</v>
      </c>
      <c r="I155" s="15" t="n">
        <v>46214</v>
      </c>
      <c r="J155" s="15" t="n">
        <v>46202</v>
      </c>
      <c r="K155" s="15" t="n">
        <v>46203</v>
      </c>
      <c r="L155" s="15" t="n">
        <v>46219</v>
      </c>
      <c r="M155" s="15"/>
      <c r="N155" s="14" t="s">
        <v>328</v>
      </c>
      <c r="O155" s="14"/>
      <c r="P155" s="14"/>
      <c r="Q155" s="14"/>
      <c r="R155" s="14"/>
      <c r="S155" s="14" t="s">
        <v>745</v>
      </c>
      <c r="T155" s="14" t="n">
        <v>1</v>
      </c>
      <c r="U155" s="14" t="n">
        <v>1</v>
      </c>
      <c r="V155" s="14" t="n">
        <v>1</v>
      </c>
      <c r="W155" s="17" t="n">
        <f aca="false">DATE(YEAR(B155),MONTH(B155),1)</f>
        <v>46174</v>
      </c>
      <c r="X155" s="14" t="n">
        <f aca="false">IF(AND(N155&lt;&gt;"Cancelled",I155&lt;=AsOf),1,0)</f>
        <v>0</v>
      </c>
      <c r="Y155" s="14" t="n">
        <f aca="false">IF(AND(N155&lt;&gt;"Cancelled",OR(ISNUMBER(K155),N155="Completed")),1,0)</f>
        <v>1</v>
      </c>
      <c r="Z155" s="14" t="n">
        <f aca="false">IF(AND(Y155=1,U155=1,ISNUMBER(K155)),K155-I155,"")</f>
        <v>-11</v>
      </c>
      <c r="AA155" s="14" t="str">
        <f aca="false">IF(Z155="","",IF(Z155&lt;0,"Early",IF(Z155=0,"On Time","Late")))</f>
        <v>Early</v>
      </c>
      <c r="AB155" s="14" t="n">
        <f aca="false">IF(AND(N155&lt;&gt;"Cancelled",L155&lt;=AsOf),1,0)</f>
        <v>0</v>
      </c>
      <c r="AC155" s="14" t="n">
        <f aca="false">IF(AND(N155&lt;&gt;"Cancelled",OR(ISNUMBER(M155),N155="Completed")),1,0)</f>
        <v>0</v>
      </c>
      <c r="AD155" s="14" t="str">
        <f aca="false">IF(AND(AC155=1,V155=1,ISNUMBER(M155)),M155-L155,"")</f>
        <v/>
      </c>
      <c r="AE155" s="14" t="str">
        <f aca="false">IF(AD155="","",IF(AD155&lt;0,"Early",IF(AD155=0,"On Time","Late")))</f>
        <v/>
      </c>
      <c r="AF155" s="14" t="n">
        <f aca="false">IF(AND(T155=1,ISNUMBER(J155),N155&lt;&gt;"Cancelled"),J155-B155,"")</f>
        <v>6</v>
      </c>
      <c r="AG155" s="14" t="n">
        <f aca="false">IF(AND(AF155&lt;&gt;"",Z155&lt;&gt;""),K155-J155,"")</f>
        <v>1</v>
      </c>
      <c r="AH155" s="14" t="str">
        <f aca="false">IF(AND(Z155&lt;&gt;"",AD155&lt;&gt;""),M155-K155,"")</f>
        <v/>
      </c>
      <c r="AI155" s="14" t="n">
        <f aca="false">IF(Z155&lt;&gt;"",K155-B155,"")</f>
        <v>7</v>
      </c>
      <c r="AJ155" s="14" t="str">
        <f aca="false">IF(AND(N155="Completed",AD155&lt;&gt;""),M155-B155,"")</f>
        <v/>
      </c>
      <c r="AK155" s="14" t="str">
        <f aca="false">IF(N155="Cancelled","Cancelled",IF(N155="Completed","Completed",IF(Y155=1,"Awaiting Installation",IF(ISNUMBER(J155),"In Transit","In Production"))))</f>
        <v>Awaiting Installation</v>
      </c>
      <c r="AL155" s="18" t="n">
        <f aca="false">IF(AND(N155="Pending",OR(AND(Y155=0,I155&lt;AsOf),AND(Y155=1,L155&lt;AsOf))),1,0)</f>
        <v>0</v>
      </c>
      <c r="AM155" s="14" t="str">
        <f aca="false">IF(AL155=1,IF(Y155=0,AsOf-I155,AsOf-L155),"")</f>
        <v/>
      </c>
      <c r="AN155" s="14" t="str">
        <f aca="false">IF(AL155=1,IF(Y155=0,"Delivery","Installation"),"")</f>
        <v/>
      </c>
      <c r="AO155" s="14" t="n">
        <f aca="false">IF(AND(OR(fCat="All",F155=fCat),OR(fCust="All",D155=fCust),OR(fReg="All",E155=fReg)),1,0)</f>
        <v>1</v>
      </c>
      <c r="AP155" s="14" t="n">
        <f aca="false">IF(AND(AL155=1,AO155=1),AM155+ROW()/100000,0)</f>
        <v>0</v>
      </c>
    </row>
    <row r="156" customFormat="false" ht="15" hidden="false" customHeight="false" outlineLevel="0" collapsed="false">
      <c r="A156" s="14" t="s">
        <v>688</v>
      </c>
      <c r="B156" s="15" t="n">
        <v>46198</v>
      </c>
      <c r="C156" s="14" t="s">
        <v>682</v>
      </c>
      <c r="D156" s="14" t="s">
        <v>149</v>
      </c>
      <c r="E156" s="14" t="s">
        <v>91</v>
      </c>
      <c r="F156" s="14" t="s">
        <v>160</v>
      </c>
      <c r="G156" s="14" t="n">
        <v>1</v>
      </c>
      <c r="H156" s="16" t="n">
        <v>121000</v>
      </c>
      <c r="I156" s="15" t="n">
        <v>46208</v>
      </c>
      <c r="J156" s="15" t="n">
        <v>46199</v>
      </c>
      <c r="K156" s="15" t="n">
        <v>46200</v>
      </c>
      <c r="L156" s="15" t="n">
        <v>46211</v>
      </c>
      <c r="M156" s="15" t="n">
        <v>46203</v>
      </c>
      <c r="N156" s="14" t="s">
        <v>75</v>
      </c>
      <c r="O156" s="14"/>
      <c r="P156" s="14"/>
      <c r="Q156" s="14"/>
      <c r="R156" s="14"/>
      <c r="S156" s="14" t="s">
        <v>745</v>
      </c>
      <c r="T156" s="14" t="n">
        <v>1</v>
      </c>
      <c r="U156" s="14" t="n">
        <v>1</v>
      </c>
      <c r="V156" s="14" t="n">
        <v>1</v>
      </c>
      <c r="W156" s="17" t="n">
        <f aca="false">DATE(YEAR(B156),MONTH(B156),1)</f>
        <v>46174</v>
      </c>
      <c r="X156" s="14" t="n">
        <f aca="false">IF(AND(N156&lt;&gt;"Cancelled",I156&lt;=AsOf),1,0)</f>
        <v>0</v>
      </c>
      <c r="Y156" s="14" t="n">
        <f aca="false">IF(AND(N156&lt;&gt;"Cancelled",OR(ISNUMBER(K156),N156="Completed")),1,0)</f>
        <v>1</v>
      </c>
      <c r="Z156" s="14" t="n">
        <f aca="false">IF(AND(Y156=1,U156=1,ISNUMBER(K156)),K156-I156,"")</f>
        <v>-8</v>
      </c>
      <c r="AA156" s="14" t="str">
        <f aca="false">IF(Z156="","",IF(Z156&lt;0,"Early",IF(Z156=0,"On Time","Late")))</f>
        <v>Early</v>
      </c>
      <c r="AB156" s="14" t="n">
        <f aca="false">IF(AND(N156&lt;&gt;"Cancelled",L156&lt;=AsOf),1,0)</f>
        <v>0</v>
      </c>
      <c r="AC156" s="14" t="n">
        <f aca="false">IF(AND(N156&lt;&gt;"Cancelled",OR(ISNUMBER(M156),N156="Completed")),1,0)</f>
        <v>1</v>
      </c>
      <c r="AD156" s="14" t="n">
        <f aca="false">IF(AND(AC156=1,V156=1,ISNUMBER(M156)),M156-L156,"")</f>
        <v>-8</v>
      </c>
      <c r="AE156" s="14" t="str">
        <f aca="false">IF(AD156="","",IF(AD156&lt;0,"Early",IF(AD156=0,"On Time","Late")))</f>
        <v>Early</v>
      </c>
      <c r="AF156" s="14" t="n">
        <f aca="false">IF(AND(T156=1,ISNUMBER(J156),N156&lt;&gt;"Cancelled"),J156-B156,"")</f>
        <v>1</v>
      </c>
      <c r="AG156" s="14" t="n">
        <f aca="false">IF(AND(AF156&lt;&gt;"",Z156&lt;&gt;""),K156-J156,"")</f>
        <v>1</v>
      </c>
      <c r="AH156" s="14" t="n">
        <f aca="false">IF(AND(Z156&lt;&gt;"",AD156&lt;&gt;""),M156-K156,"")</f>
        <v>3</v>
      </c>
      <c r="AI156" s="14" t="n">
        <f aca="false">IF(Z156&lt;&gt;"",K156-B156,"")</f>
        <v>2</v>
      </c>
      <c r="AJ156" s="14" t="n">
        <f aca="false">IF(AND(N156="Completed",AD156&lt;&gt;""),M156-B156,"")</f>
        <v>5</v>
      </c>
      <c r="AK156" s="14" t="str">
        <f aca="false">IF(N156="Cancelled","Cancelled",IF(N156="Completed","Completed",IF(Y156=1,"Awaiting Installation",IF(ISNUMBER(J156),"In Transit","In Production"))))</f>
        <v>Completed</v>
      </c>
      <c r="AL156" s="18" t="n">
        <f aca="false">IF(AND(N156="Pending",OR(AND(Y156=0,I156&lt;AsOf),AND(Y156=1,L156&lt;AsOf))),1,0)</f>
        <v>0</v>
      </c>
      <c r="AM156" s="14" t="str">
        <f aca="false">IF(AL156=1,IF(Y156=0,AsOf-I156,AsOf-L156),"")</f>
        <v/>
      </c>
      <c r="AN156" s="14" t="str">
        <f aca="false">IF(AL156=1,IF(Y156=0,"Delivery","Installation"),"")</f>
        <v/>
      </c>
      <c r="AO156" s="14" t="n">
        <f aca="false">IF(AND(OR(fCat="All",F156=fCat),OR(fCust="All",D156=fCust),OR(fReg="All",E156=fReg)),1,0)</f>
        <v>1</v>
      </c>
      <c r="AP156" s="14" t="n">
        <f aca="false">IF(AND(AL156=1,AO156=1),AM156+ROW()/100000,0)</f>
        <v>0</v>
      </c>
    </row>
    <row r="157" customFormat="false" ht="15" hidden="false" customHeight="false" outlineLevel="0" collapsed="false">
      <c r="A157" s="14" t="s">
        <v>690</v>
      </c>
      <c r="B157" s="15" t="n">
        <v>46198</v>
      </c>
      <c r="C157" s="14" t="s">
        <v>373</v>
      </c>
      <c r="D157" s="14" t="s">
        <v>149</v>
      </c>
      <c r="E157" s="14" t="s">
        <v>102</v>
      </c>
      <c r="F157" s="14" t="s">
        <v>160</v>
      </c>
      <c r="G157" s="14" t="n">
        <v>1</v>
      </c>
      <c r="H157" s="16" t="n">
        <v>179000</v>
      </c>
      <c r="I157" s="15" t="n">
        <v>46210</v>
      </c>
      <c r="J157" s="15" t="n">
        <v>46200</v>
      </c>
      <c r="K157" s="15" t="n">
        <v>46203</v>
      </c>
      <c r="L157" s="15" t="n">
        <v>46213</v>
      </c>
      <c r="M157" s="15"/>
      <c r="N157" s="14" t="s">
        <v>328</v>
      </c>
      <c r="O157" s="14"/>
      <c r="P157" s="14"/>
      <c r="Q157" s="14"/>
      <c r="R157" s="14"/>
      <c r="S157" s="14" t="s">
        <v>745</v>
      </c>
      <c r="T157" s="14" t="n">
        <v>1</v>
      </c>
      <c r="U157" s="14" t="n">
        <v>1</v>
      </c>
      <c r="V157" s="14" t="n">
        <v>1</v>
      </c>
      <c r="W157" s="17" t="n">
        <f aca="false">DATE(YEAR(B157),MONTH(B157),1)</f>
        <v>46174</v>
      </c>
      <c r="X157" s="14" t="n">
        <f aca="false">IF(AND(N157&lt;&gt;"Cancelled",I157&lt;=AsOf),1,0)</f>
        <v>0</v>
      </c>
      <c r="Y157" s="14" t="n">
        <f aca="false">IF(AND(N157&lt;&gt;"Cancelled",OR(ISNUMBER(K157),N157="Completed")),1,0)</f>
        <v>1</v>
      </c>
      <c r="Z157" s="14" t="n">
        <f aca="false">IF(AND(Y157=1,U157=1,ISNUMBER(K157)),K157-I157,"")</f>
        <v>-7</v>
      </c>
      <c r="AA157" s="14" t="str">
        <f aca="false">IF(Z157="","",IF(Z157&lt;0,"Early",IF(Z157=0,"On Time","Late")))</f>
        <v>Early</v>
      </c>
      <c r="AB157" s="14" t="n">
        <f aca="false">IF(AND(N157&lt;&gt;"Cancelled",L157&lt;=AsOf),1,0)</f>
        <v>0</v>
      </c>
      <c r="AC157" s="14" t="n">
        <f aca="false">IF(AND(N157&lt;&gt;"Cancelled",OR(ISNUMBER(M157),N157="Completed")),1,0)</f>
        <v>0</v>
      </c>
      <c r="AD157" s="14" t="str">
        <f aca="false">IF(AND(AC157=1,V157=1,ISNUMBER(M157)),M157-L157,"")</f>
        <v/>
      </c>
      <c r="AE157" s="14" t="str">
        <f aca="false">IF(AD157="","",IF(AD157&lt;0,"Early",IF(AD157=0,"On Time","Late")))</f>
        <v/>
      </c>
      <c r="AF157" s="14" t="n">
        <f aca="false">IF(AND(T157=1,ISNUMBER(J157),N157&lt;&gt;"Cancelled"),J157-B157,"")</f>
        <v>2</v>
      </c>
      <c r="AG157" s="14" t="n">
        <f aca="false">IF(AND(AF157&lt;&gt;"",Z157&lt;&gt;""),K157-J157,"")</f>
        <v>3</v>
      </c>
      <c r="AH157" s="14" t="str">
        <f aca="false">IF(AND(Z157&lt;&gt;"",AD157&lt;&gt;""),M157-K157,"")</f>
        <v/>
      </c>
      <c r="AI157" s="14" t="n">
        <f aca="false">IF(Z157&lt;&gt;"",K157-B157,"")</f>
        <v>5</v>
      </c>
      <c r="AJ157" s="14" t="str">
        <f aca="false">IF(AND(N157="Completed",AD157&lt;&gt;""),M157-B157,"")</f>
        <v/>
      </c>
      <c r="AK157" s="14" t="str">
        <f aca="false">IF(N157="Cancelled","Cancelled",IF(N157="Completed","Completed",IF(Y157=1,"Awaiting Installation",IF(ISNUMBER(J157),"In Transit","In Production"))))</f>
        <v>Awaiting Installation</v>
      </c>
      <c r="AL157" s="18" t="n">
        <f aca="false">IF(AND(N157="Pending",OR(AND(Y157=0,I157&lt;AsOf),AND(Y157=1,L157&lt;AsOf))),1,0)</f>
        <v>0</v>
      </c>
      <c r="AM157" s="14" t="str">
        <f aca="false">IF(AL157=1,IF(Y157=0,AsOf-I157,AsOf-L157),"")</f>
        <v/>
      </c>
      <c r="AN157" s="14" t="str">
        <f aca="false">IF(AL157=1,IF(Y157=0,"Delivery","Installation"),"")</f>
        <v/>
      </c>
      <c r="AO157" s="14" t="n">
        <f aca="false">IF(AND(OR(fCat="All",F157=fCat),OR(fCust="All",D157=fCust),OR(fReg="All",E157=fReg)),1,0)</f>
        <v>1</v>
      </c>
      <c r="AP157" s="14" t="n">
        <f aca="false">IF(AND(AL157=1,AO157=1),AM157+ROW()/100000,0)</f>
        <v>0</v>
      </c>
    </row>
    <row r="158" customFormat="false" ht="15" hidden="false" customHeight="false" outlineLevel="0" collapsed="false">
      <c r="A158" s="14" t="s">
        <v>692</v>
      </c>
      <c r="B158" s="15" t="n">
        <v>46199</v>
      </c>
      <c r="C158" s="14" t="s">
        <v>693</v>
      </c>
      <c r="D158" s="14" t="s">
        <v>149</v>
      </c>
      <c r="E158" s="14" t="s">
        <v>91</v>
      </c>
      <c r="F158" s="14" t="s">
        <v>160</v>
      </c>
      <c r="G158" s="14" t="n">
        <v>1</v>
      </c>
      <c r="H158" s="16" t="n">
        <v>166000</v>
      </c>
      <c r="I158" s="15" t="n">
        <v>46209</v>
      </c>
      <c r="J158" s="15"/>
      <c r="K158" s="15"/>
      <c r="L158" s="15" t="n">
        <v>46212</v>
      </c>
      <c r="M158" s="15"/>
      <c r="N158" s="14" t="s">
        <v>328</v>
      </c>
      <c r="O158" s="14"/>
      <c r="P158" s="14"/>
      <c r="Q158" s="14"/>
      <c r="R158" s="14" t="s">
        <v>226</v>
      </c>
      <c r="S158" s="14" t="s">
        <v>745</v>
      </c>
      <c r="T158" s="14" t="n">
        <v>1</v>
      </c>
      <c r="U158" s="14" t="n">
        <v>1</v>
      </c>
      <c r="V158" s="14" t="n">
        <v>1</v>
      </c>
      <c r="W158" s="17" t="n">
        <f aca="false">DATE(YEAR(B158),MONTH(B158),1)</f>
        <v>46174</v>
      </c>
      <c r="X158" s="14" t="n">
        <f aca="false">IF(AND(N158&lt;&gt;"Cancelled",I158&lt;=AsOf),1,0)</f>
        <v>0</v>
      </c>
      <c r="Y158" s="14" t="n">
        <f aca="false">IF(AND(N158&lt;&gt;"Cancelled",OR(ISNUMBER(K158),N158="Completed")),1,0)</f>
        <v>0</v>
      </c>
      <c r="Z158" s="14" t="str">
        <f aca="false">IF(AND(Y158=1,U158=1,ISNUMBER(K158)),K158-I158,"")</f>
        <v/>
      </c>
      <c r="AA158" s="14" t="str">
        <f aca="false">IF(Z158="","",IF(Z158&lt;0,"Early",IF(Z158=0,"On Time","Late")))</f>
        <v/>
      </c>
      <c r="AB158" s="14" t="n">
        <f aca="false">IF(AND(N158&lt;&gt;"Cancelled",L158&lt;=AsOf),1,0)</f>
        <v>0</v>
      </c>
      <c r="AC158" s="14" t="n">
        <f aca="false">IF(AND(N158&lt;&gt;"Cancelled",OR(ISNUMBER(M158),N158="Completed")),1,0)</f>
        <v>0</v>
      </c>
      <c r="AD158" s="14" t="str">
        <f aca="false">IF(AND(AC158=1,V158=1,ISNUMBER(M158)),M158-L158,"")</f>
        <v/>
      </c>
      <c r="AE158" s="14" t="str">
        <f aca="false">IF(AD158="","",IF(AD158&lt;0,"Early",IF(AD158=0,"On Time","Late")))</f>
        <v/>
      </c>
      <c r="AF158" s="14" t="str">
        <f aca="false">IF(AND(T158=1,ISNUMBER(J158),N158&lt;&gt;"Cancelled"),J158-B158,"")</f>
        <v/>
      </c>
      <c r="AG158" s="14" t="str">
        <f aca="false">IF(AND(AF158&lt;&gt;"",Z158&lt;&gt;""),K158-J158,"")</f>
        <v/>
      </c>
      <c r="AH158" s="14" t="str">
        <f aca="false">IF(AND(Z158&lt;&gt;"",AD158&lt;&gt;""),M158-K158,"")</f>
        <v/>
      </c>
      <c r="AI158" s="14" t="str">
        <f aca="false">IF(Z158&lt;&gt;"",K158-B158,"")</f>
        <v/>
      </c>
      <c r="AJ158" s="14" t="str">
        <f aca="false">IF(AND(N158="Completed",AD158&lt;&gt;""),M158-B158,"")</f>
        <v/>
      </c>
      <c r="AK158" s="14" t="str">
        <f aca="false">IF(N158="Cancelled","Cancelled",IF(N158="Completed","Completed",IF(Y158=1,"Awaiting Installation",IF(ISNUMBER(J158),"In Transit","In Production"))))</f>
        <v>In Production</v>
      </c>
      <c r="AL158" s="18" t="n">
        <f aca="false">IF(AND(N158="Pending",OR(AND(Y158=0,I158&lt;AsOf),AND(Y158=1,L158&lt;AsOf))),1,0)</f>
        <v>0</v>
      </c>
      <c r="AM158" s="14" t="str">
        <f aca="false">IF(AL158=1,IF(Y158=0,AsOf-I158,AsOf-L158),"")</f>
        <v/>
      </c>
      <c r="AN158" s="14" t="str">
        <f aca="false">IF(AL158=1,IF(Y158=0,"Delivery","Installation"),"")</f>
        <v/>
      </c>
      <c r="AO158" s="14" t="n">
        <f aca="false">IF(AND(OR(fCat="All",F158=fCat),OR(fCust="All",D158=fCust),OR(fReg="All",E158=fReg)),1,0)</f>
        <v>1</v>
      </c>
      <c r="AP158" s="14" t="n">
        <f aca="false">IF(AND(AL158=1,AO158=1),AM158+ROW()/100000,0)</f>
        <v>0</v>
      </c>
    </row>
    <row r="159" customFormat="false" ht="15" hidden="false" customHeight="false" outlineLevel="0" collapsed="false">
      <c r="A159" s="14" t="s">
        <v>696</v>
      </c>
      <c r="B159" s="15" t="n">
        <v>46200</v>
      </c>
      <c r="C159" s="14" t="s">
        <v>148</v>
      </c>
      <c r="D159" s="14" t="s">
        <v>65</v>
      </c>
      <c r="E159" s="14" t="s">
        <v>91</v>
      </c>
      <c r="F159" s="14" t="s">
        <v>121</v>
      </c>
      <c r="G159" s="14" t="n">
        <v>1</v>
      </c>
      <c r="H159" s="16" t="n">
        <v>758000</v>
      </c>
      <c r="I159" s="15" t="n">
        <v>46230</v>
      </c>
      <c r="J159" s="15"/>
      <c r="K159" s="15"/>
      <c r="L159" s="15" t="n">
        <v>46235</v>
      </c>
      <c r="M159" s="15"/>
      <c r="N159" s="14" t="s">
        <v>328</v>
      </c>
      <c r="O159" s="14"/>
      <c r="P159" s="14"/>
      <c r="Q159" s="14"/>
      <c r="R159" s="14"/>
      <c r="S159" s="14" t="s">
        <v>745</v>
      </c>
      <c r="T159" s="14" t="n">
        <v>1</v>
      </c>
      <c r="U159" s="14" t="n">
        <v>1</v>
      </c>
      <c r="V159" s="14" t="n">
        <v>1</v>
      </c>
      <c r="W159" s="17" t="n">
        <f aca="false">DATE(YEAR(B159),MONTH(B159),1)</f>
        <v>46174</v>
      </c>
      <c r="X159" s="14" t="n">
        <f aca="false">IF(AND(N159&lt;&gt;"Cancelled",I159&lt;=AsOf),1,0)</f>
        <v>0</v>
      </c>
      <c r="Y159" s="14" t="n">
        <f aca="false">IF(AND(N159&lt;&gt;"Cancelled",OR(ISNUMBER(K159),N159="Completed")),1,0)</f>
        <v>0</v>
      </c>
      <c r="Z159" s="14" t="str">
        <f aca="false">IF(AND(Y159=1,U159=1,ISNUMBER(K159)),K159-I159,"")</f>
        <v/>
      </c>
      <c r="AA159" s="14" t="str">
        <f aca="false">IF(Z159="","",IF(Z159&lt;0,"Early",IF(Z159=0,"On Time","Late")))</f>
        <v/>
      </c>
      <c r="AB159" s="14" t="n">
        <f aca="false">IF(AND(N159&lt;&gt;"Cancelled",L159&lt;=AsOf),1,0)</f>
        <v>0</v>
      </c>
      <c r="AC159" s="14" t="n">
        <f aca="false">IF(AND(N159&lt;&gt;"Cancelled",OR(ISNUMBER(M159),N159="Completed")),1,0)</f>
        <v>0</v>
      </c>
      <c r="AD159" s="14" t="str">
        <f aca="false">IF(AND(AC159=1,V159=1,ISNUMBER(M159)),M159-L159,"")</f>
        <v/>
      </c>
      <c r="AE159" s="14" t="str">
        <f aca="false">IF(AD159="","",IF(AD159&lt;0,"Early",IF(AD159=0,"On Time","Late")))</f>
        <v/>
      </c>
      <c r="AF159" s="14" t="str">
        <f aca="false">IF(AND(T159=1,ISNUMBER(J159),N159&lt;&gt;"Cancelled"),J159-B159,"")</f>
        <v/>
      </c>
      <c r="AG159" s="14" t="str">
        <f aca="false">IF(AND(AF159&lt;&gt;"",Z159&lt;&gt;""),K159-J159,"")</f>
        <v/>
      </c>
      <c r="AH159" s="14" t="str">
        <f aca="false">IF(AND(Z159&lt;&gt;"",AD159&lt;&gt;""),M159-K159,"")</f>
        <v/>
      </c>
      <c r="AI159" s="14" t="str">
        <f aca="false">IF(Z159&lt;&gt;"",K159-B159,"")</f>
        <v/>
      </c>
      <c r="AJ159" s="14" t="str">
        <f aca="false">IF(AND(N159="Completed",AD159&lt;&gt;""),M159-B159,"")</f>
        <v/>
      </c>
      <c r="AK159" s="14" t="str">
        <f aca="false">IF(N159="Cancelled","Cancelled",IF(N159="Completed","Completed",IF(Y159=1,"Awaiting Installation",IF(ISNUMBER(J159),"In Transit","In Production"))))</f>
        <v>In Production</v>
      </c>
      <c r="AL159" s="18" t="n">
        <f aca="false">IF(AND(N159="Pending",OR(AND(Y159=0,I159&lt;AsOf),AND(Y159=1,L159&lt;AsOf))),1,0)</f>
        <v>0</v>
      </c>
      <c r="AM159" s="14" t="str">
        <f aca="false">IF(AL159=1,IF(Y159=0,AsOf-I159,AsOf-L159),"")</f>
        <v/>
      </c>
      <c r="AN159" s="14" t="str">
        <f aca="false">IF(AL159=1,IF(Y159=0,"Delivery","Installation"),"")</f>
        <v/>
      </c>
      <c r="AO159" s="14" t="n">
        <f aca="false">IF(AND(OR(fCat="All",F159=fCat),OR(fCust="All",D159=fCust),OR(fReg="All",E159=fReg)),1,0)</f>
        <v>1</v>
      </c>
      <c r="AP159" s="14" t="n">
        <f aca="false">IF(AND(AL159=1,AO159=1),AM159+ROW()/100000,0)</f>
        <v>0</v>
      </c>
    </row>
    <row r="160" customFormat="false" ht="15" hidden="false" customHeight="false" outlineLevel="0" collapsed="false">
      <c r="A160" s="14" t="s">
        <v>698</v>
      </c>
      <c r="B160" s="15" t="n">
        <v>46200</v>
      </c>
      <c r="C160" s="14" t="s">
        <v>174</v>
      </c>
      <c r="D160" s="14" t="s">
        <v>90</v>
      </c>
      <c r="E160" s="14" t="s">
        <v>102</v>
      </c>
      <c r="F160" s="14" t="s">
        <v>121</v>
      </c>
      <c r="G160" s="14" t="n">
        <v>2</v>
      </c>
      <c r="H160" s="16" t="n">
        <v>2280000</v>
      </c>
      <c r="I160" s="15" t="n">
        <v>46232</v>
      </c>
      <c r="J160" s="15"/>
      <c r="K160" s="15"/>
      <c r="L160" s="15" t="n">
        <v>46237</v>
      </c>
      <c r="M160" s="15"/>
      <c r="N160" s="14" t="s">
        <v>328</v>
      </c>
      <c r="O160" s="14"/>
      <c r="P160" s="14"/>
      <c r="Q160" s="14"/>
      <c r="R160" s="14" t="s">
        <v>134</v>
      </c>
      <c r="S160" s="14" t="s">
        <v>745</v>
      </c>
      <c r="T160" s="14" t="n">
        <v>1</v>
      </c>
      <c r="U160" s="14" t="n">
        <v>1</v>
      </c>
      <c r="V160" s="14" t="n">
        <v>1</v>
      </c>
      <c r="W160" s="17" t="n">
        <f aca="false">DATE(YEAR(B160),MONTH(B160),1)</f>
        <v>46174</v>
      </c>
      <c r="X160" s="14" t="n">
        <f aca="false">IF(AND(N160&lt;&gt;"Cancelled",I160&lt;=AsOf),1,0)</f>
        <v>0</v>
      </c>
      <c r="Y160" s="14" t="n">
        <f aca="false">IF(AND(N160&lt;&gt;"Cancelled",OR(ISNUMBER(K160),N160="Completed")),1,0)</f>
        <v>0</v>
      </c>
      <c r="Z160" s="14" t="str">
        <f aca="false">IF(AND(Y160=1,U160=1,ISNUMBER(K160)),K160-I160,"")</f>
        <v/>
      </c>
      <c r="AA160" s="14" t="str">
        <f aca="false">IF(Z160="","",IF(Z160&lt;0,"Early",IF(Z160=0,"On Time","Late")))</f>
        <v/>
      </c>
      <c r="AB160" s="14" t="n">
        <f aca="false">IF(AND(N160&lt;&gt;"Cancelled",L160&lt;=AsOf),1,0)</f>
        <v>0</v>
      </c>
      <c r="AC160" s="14" t="n">
        <f aca="false">IF(AND(N160&lt;&gt;"Cancelled",OR(ISNUMBER(M160),N160="Completed")),1,0)</f>
        <v>0</v>
      </c>
      <c r="AD160" s="14" t="str">
        <f aca="false">IF(AND(AC160=1,V160=1,ISNUMBER(M160)),M160-L160,"")</f>
        <v/>
      </c>
      <c r="AE160" s="14" t="str">
        <f aca="false">IF(AD160="","",IF(AD160&lt;0,"Early",IF(AD160=0,"On Time","Late")))</f>
        <v/>
      </c>
      <c r="AF160" s="14" t="str">
        <f aca="false">IF(AND(T160=1,ISNUMBER(J160),N160&lt;&gt;"Cancelled"),J160-B160,"")</f>
        <v/>
      </c>
      <c r="AG160" s="14" t="str">
        <f aca="false">IF(AND(AF160&lt;&gt;"",Z160&lt;&gt;""),K160-J160,"")</f>
        <v/>
      </c>
      <c r="AH160" s="14" t="str">
        <f aca="false">IF(AND(Z160&lt;&gt;"",AD160&lt;&gt;""),M160-K160,"")</f>
        <v/>
      </c>
      <c r="AI160" s="14" t="str">
        <f aca="false">IF(Z160&lt;&gt;"",K160-B160,"")</f>
        <v/>
      </c>
      <c r="AJ160" s="14" t="str">
        <f aca="false">IF(AND(N160="Completed",AD160&lt;&gt;""),M160-B160,"")</f>
        <v/>
      </c>
      <c r="AK160" s="14" t="str">
        <f aca="false">IF(N160="Cancelled","Cancelled",IF(N160="Completed","Completed",IF(Y160=1,"Awaiting Installation",IF(ISNUMBER(J160),"In Transit","In Production"))))</f>
        <v>In Production</v>
      </c>
      <c r="AL160" s="18" t="n">
        <f aca="false">IF(AND(N160="Pending",OR(AND(Y160=0,I160&lt;AsOf),AND(Y160=1,L160&lt;AsOf))),1,0)</f>
        <v>0</v>
      </c>
      <c r="AM160" s="14" t="str">
        <f aca="false">IF(AL160=1,IF(Y160=0,AsOf-I160,AsOf-L160),"")</f>
        <v/>
      </c>
      <c r="AN160" s="14" t="str">
        <f aca="false">IF(AL160=1,IF(Y160=0,"Delivery","Installation"),"")</f>
        <v/>
      </c>
      <c r="AO160" s="14" t="n">
        <f aca="false">IF(AND(OR(fCat="All",F160=fCat),OR(fCust="All",D160=fCust),OR(fReg="All",E160=fReg)),1,0)</f>
        <v>1</v>
      </c>
      <c r="AP160" s="14" t="n">
        <f aca="false">IF(AND(AL160=1,AO160=1),AM160+ROW()/100000,0)</f>
        <v>0</v>
      </c>
    </row>
    <row r="161" customFormat="false" ht="15" hidden="false" customHeight="false" outlineLevel="0" collapsed="false">
      <c r="A161" s="14" t="s">
        <v>702</v>
      </c>
      <c r="B161" s="15" t="n">
        <v>46200</v>
      </c>
      <c r="C161" s="14" t="s">
        <v>620</v>
      </c>
      <c r="D161" s="14" t="s">
        <v>90</v>
      </c>
      <c r="E161" s="14" t="s">
        <v>66</v>
      </c>
      <c r="F161" s="14" t="s">
        <v>67</v>
      </c>
      <c r="G161" s="14" t="n">
        <v>1</v>
      </c>
      <c r="H161" s="16" t="n">
        <v>1012000</v>
      </c>
      <c r="I161" s="15" t="n">
        <v>46222</v>
      </c>
      <c r="J161" s="15"/>
      <c r="K161" s="15"/>
      <c r="L161" s="15" t="n">
        <v>46227</v>
      </c>
      <c r="M161" s="15"/>
      <c r="N161" s="14" t="s">
        <v>328</v>
      </c>
      <c r="O161" s="14"/>
      <c r="P161" s="14"/>
      <c r="Q161" s="14"/>
      <c r="R161" s="14" t="s">
        <v>168</v>
      </c>
      <c r="S161" s="14" t="s">
        <v>745</v>
      </c>
      <c r="T161" s="14" t="n">
        <v>1</v>
      </c>
      <c r="U161" s="14" t="n">
        <v>1</v>
      </c>
      <c r="V161" s="14" t="n">
        <v>1</v>
      </c>
      <c r="W161" s="17" t="n">
        <f aca="false">DATE(YEAR(B161),MONTH(B161),1)</f>
        <v>46174</v>
      </c>
      <c r="X161" s="14" t="n">
        <f aca="false">IF(AND(N161&lt;&gt;"Cancelled",I161&lt;=AsOf),1,0)</f>
        <v>0</v>
      </c>
      <c r="Y161" s="14" t="n">
        <f aca="false">IF(AND(N161&lt;&gt;"Cancelled",OR(ISNUMBER(K161),N161="Completed")),1,0)</f>
        <v>0</v>
      </c>
      <c r="Z161" s="14" t="str">
        <f aca="false">IF(AND(Y161=1,U161=1,ISNUMBER(K161)),K161-I161,"")</f>
        <v/>
      </c>
      <c r="AA161" s="14" t="str">
        <f aca="false">IF(Z161="","",IF(Z161&lt;0,"Early",IF(Z161=0,"On Time","Late")))</f>
        <v/>
      </c>
      <c r="AB161" s="14" t="n">
        <f aca="false">IF(AND(N161&lt;&gt;"Cancelled",L161&lt;=AsOf),1,0)</f>
        <v>0</v>
      </c>
      <c r="AC161" s="14" t="n">
        <f aca="false">IF(AND(N161&lt;&gt;"Cancelled",OR(ISNUMBER(M161),N161="Completed")),1,0)</f>
        <v>0</v>
      </c>
      <c r="AD161" s="14" t="str">
        <f aca="false">IF(AND(AC161=1,V161=1,ISNUMBER(M161)),M161-L161,"")</f>
        <v/>
      </c>
      <c r="AE161" s="14" t="str">
        <f aca="false">IF(AD161="","",IF(AD161&lt;0,"Early",IF(AD161=0,"On Time","Late")))</f>
        <v/>
      </c>
      <c r="AF161" s="14" t="str">
        <f aca="false">IF(AND(T161=1,ISNUMBER(J161),N161&lt;&gt;"Cancelled"),J161-B161,"")</f>
        <v/>
      </c>
      <c r="AG161" s="14" t="str">
        <f aca="false">IF(AND(AF161&lt;&gt;"",Z161&lt;&gt;""),K161-J161,"")</f>
        <v/>
      </c>
      <c r="AH161" s="14" t="str">
        <f aca="false">IF(AND(Z161&lt;&gt;"",AD161&lt;&gt;""),M161-K161,"")</f>
        <v/>
      </c>
      <c r="AI161" s="14" t="str">
        <f aca="false">IF(Z161&lt;&gt;"",K161-B161,"")</f>
        <v/>
      </c>
      <c r="AJ161" s="14" t="str">
        <f aca="false">IF(AND(N161="Completed",AD161&lt;&gt;""),M161-B161,"")</f>
        <v/>
      </c>
      <c r="AK161" s="14" t="str">
        <f aca="false">IF(N161="Cancelled","Cancelled",IF(N161="Completed","Completed",IF(Y161=1,"Awaiting Installation",IF(ISNUMBER(J161),"In Transit","In Production"))))</f>
        <v>In Production</v>
      </c>
      <c r="AL161" s="18" t="n">
        <f aca="false">IF(AND(N161="Pending",OR(AND(Y161=0,I161&lt;AsOf),AND(Y161=1,L161&lt;AsOf))),1,0)</f>
        <v>0</v>
      </c>
      <c r="AM161" s="14" t="str">
        <f aca="false">IF(AL161=1,IF(Y161=0,AsOf-I161,AsOf-L161),"")</f>
        <v/>
      </c>
      <c r="AN161" s="14" t="str">
        <f aca="false">IF(AL161=1,IF(Y161=0,"Delivery","Installation"),"")</f>
        <v/>
      </c>
      <c r="AO161" s="14" t="n">
        <f aca="false">IF(AND(OR(fCat="All",F161=fCat),OR(fCust="All",D161=fCust),OR(fReg="All",E161=fReg)),1,0)</f>
        <v>1</v>
      </c>
      <c r="AP161" s="14" t="n">
        <f aca="false">IF(AND(AL161=1,AO161=1),AM161+ROW()/100000,0)</f>
        <v>0</v>
      </c>
    </row>
  </sheetData>
  <autoFilter ref="A1:AP161"/>
  <conditionalFormatting sqref="S2:S161">
    <cfRule type="cellIs" priority="2" operator="notEqual" aboveAverage="0" equalAverage="0" bottom="0" percent="0" rank="0" text="" dxfId="6">
      <formula>"OK"</formula>
    </cfRule>
  </conditionalFormatting>
  <conditionalFormatting sqref="AL2:AL161">
    <cfRule type="cellIs" priority="3" operator="equal" aboveAverage="0" equalAverage="0" bottom="0" percent="0" rank="0" text="" dxfId="7">
      <formula>1</formula>
    </cfRule>
  </conditionalFormatting>
  <dataValidations count="1">
    <dataValidation allowBlank="false" errorStyle="stop" operator="between" showDropDown="false" showErrorMessage="false" showInputMessage="false" sqref="N2:N1000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34"/>
    <col collapsed="false" customWidth="true" hidden="false" outlineLevel="0" max="8" min="8" style="0" width="32"/>
    <col collapsed="false" customWidth="true" hidden="false" outlineLevel="0" max="9" min="9" style="0" width="36"/>
    <col collapsed="false" customWidth="true" hidden="false" outlineLevel="0" max="10" min="10" style="0" width="46"/>
  </cols>
  <sheetData>
    <row r="1" customFormat="false" ht="25.5" hidden="false" customHeight="true" outlineLevel="0" collapsed="false">
      <c r="A1" s="8" t="s">
        <v>756</v>
      </c>
    </row>
    <row r="2" customFormat="false" ht="15" hidden="false" customHeight="false" outlineLevel="0" collapsed="false">
      <c r="A2" s="9" t="s">
        <v>42</v>
      </c>
    </row>
    <row r="4" customFormat="false" ht="15" hidden="false" customHeight="false" outlineLevel="0" collapsed="false">
      <c r="B4" s="19" t="s">
        <v>757</v>
      </c>
      <c r="C4" s="20" t="n">
        <v>46203</v>
      </c>
      <c r="D4" s="10" t="s">
        <v>758</v>
      </c>
    </row>
    <row r="6" customFormat="false" ht="15" hidden="false" customHeight="false" outlineLevel="0" collapsed="false">
      <c r="A6" s="11" t="s">
        <v>759</v>
      </c>
      <c r="B6" s="11" t="s">
        <v>760</v>
      </c>
      <c r="C6" s="11" t="s">
        <v>761</v>
      </c>
      <c r="D6" s="11" t="s">
        <v>762</v>
      </c>
      <c r="E6" s="11" t="s">
        <v>763</v>
      </c>
      <c r="F6" s="11" t="s">
        <v>764</v>
      </c>
      <c r="G6" s="11" t="s">
        <v>765</v>
      </c>
      <c r="H6" s="11" t="s">
        <v>766</v>
      </c>
      <c r="I6" s="11" t="s">
        <v>767</v>
      </c>
      <c r="J6" s="11" t="s">
        <v>768</v>
      </c>
    </row>
    <row r="7" customFormat="false" ht="15" hidden="false" customHeight="false" outlineLevel="0" collapsed="false">
      <c r="A7" s="21" t="s">
        <v>769</v>
      </c>
      <c r="B7" s="22"/>
      <c r="C7" s="22"/>
      <c r="D7" s="22"/>
      <c r="E7" s="22"/>
      <c r="F7" s="22"/>
      <c r="G7" s="22"/>
      <c r="H7" s="22"/>
      <c r="I7" s="22"/>
      <c r="J7" s="22"/>
    </row>
    <row r="8" customFormat="false" ht="22.35" hidden="false" customHeight="false" outlineLevel="0" collapsed="false">
      <c r="A8" s="23" t="n">
        <v>1</v>
      </c>
      <c r="B8" s="24" t="s">
        <v>770</v>
      </c>
      <c r="C8" s="25" t="n">
        <f aca="false">COUNTA('CLEANED DATA'!$A$2:$A$1000)</f>
        <v>160</v>
      </c>
      <c r="D8" s="23" t="s">
        <v>771</v>
      </c>
      <c r="E8" s="26"/>
      <c r="F8" s="26"/>
      <c r="G8" s="23" t="s">
        <v>772</v>
      </c>
      <c r="H8" s="23" t="s">
        <v>773</v>
      </c>
      <c r="I8" s="23" t="s">
        <v>774</v>
      </c>
      <c r="J8" s="23" t="s">
        <v>775</v>
      </c>
    </row>
    <row r="9" customFormat="false" ht="15" hidden="false" customHeight="false" outlineLevel="0" collapsed="false">
      <c r="A9" s="23" t="n">
        <v>2</v>
      </c>
      <c r="B9" s="24" t="s">
        <v>776</v>
      </c>
      <c r="C9" s="25" t="n">
        <f aca="false">COUNTIF('CLEANED DATA'!$N$2:$N$1000,"Completed")</f>
        <v>121</v>
      </c>
      <c r="D9" s="23" t="s">
        <v>771</v>
      </c>
      <c r="E9" s="26"/>
      <c r="F9" s="26"/>
      <c r="G9" s="23" t="s">
        <v>777</v>
      </c>
      <c r="H9" s="23" t="s">
        <v>778</v>
      </c>
      <c r="I9" s="23" t="s">
        <v>779</v>
      </c>
      <c r="J9" s="23" t="s">
        <v>780</v>
      </c>
    </row>
    <row r="10" customFormat="false" ht="22.35" hidden="false" customHeight="false" outlineLevel="0" collapsed="false">
      <c r="A10" s="23" t="n">
        <v>3</v>
      </c>
      <c r="B10" s="24" t="s">
        <v>781</v>
      </c>
      <c r="C10" s="25" t="n">
        <f aca="false">COUNTIF('CLEANED DATA'!$N$2:$N$1000,"Pending")</f>
        <v>30</v>
      </c>
      <c r="D10" s="23" t="s">
        <v>771</v>
      </c>
      <c r="E10" s="26"/>
      <c r="F10" s="26"/>
      <c r="G10" s="23" t="s">
        <v>782</v>
      </c>
      <c r="H10" s="23" t="s">
        <v>783</v>
      </c>
      <c r="I10" s="23" t="s">
        <v>784</v>
      </c>
      <c r="J10" s="23" t="s">
        <v>785</v>
      </c>
    </row>
    <row r="11" customFormat="false" ht="22.35" hidden="false" customHeight="false" outlineLevel="0" collapsed="false">
      <c r="A11" s="23" t="n">
        <v>4</v>
      </c>
      <c r="B11" s="24" t="s">
        <v>786</v>
      </c>
      <c r="C11" s="25" t="n">
        <f aca="false">COUNTIF('CLEANED DATA'!$N$2:$N$1000,"Cancelled")</f>
        <v>9</v>
      </c>
      <c r="D11" s="23" t="s">
        <v>771</v>
      </c>
      <c r="E11" s="26"/>
      <c r="F11" s="26"/>
      <c r="G11" s="23" t="s">
        <v>787</v>
      </c>
      <c r="H11" s="23" t="s">
        <v>788</v>
      </c>
      <c r="I11" s="23" t="s">
        <v>789</v>
      </c>
      <c r="J11" s="23" t="s">
        <v>790</v>
      </c>
    </row>
    <row r="12" customFormat="false" ht="23.85" hidden="false" customHeight="false" outlineLevel="0" collapsed="false">
      <c r="A12" s="23" t="s">
        <v>791</v>
      </c>
      <c r="B12" s="24" t="s">
        <v>792</v>
      </c>
      <c r="C12" s="27" t="str">
        <f aca="false">IF('KPI ANALYSIS'!$C$9+'KPI ANALYSIS'!$C$10+'KPI ANALYSIS'!$C$11='KPI ANALYSIS'!$C$8,"OK - statuses add up","CHECK - statuses do not add up")</f>
        <v>OK - statuses add up</v>
      </c>
      <c r="D12" s="23" t="s">
        <v>793</v>
      </c>
      <c r="E12" s="26"/>
      <c r="F12" s="26"/>
      <c r="G12" s="23" t="s">
        <v>794</v>
      </c>
      <c r="H12" s="23" t="s">
        <v>795</v>
      </c>
      <c r="I12" s="23" t="s">
        <v>796</v>
      </c>
      <c r="J12" s="23" t="s">
        <v>797</v>
      </c>
    </row>
    <row r="13" customFormat="false" ht="15" hidden="false" customHeight="false" outlineLevel="0" collapsed="false">
      <c r="A13" s="23" t="n">
        <v>5</v>
      </c>
      <c r="B13" s="24" t="s">
        <v>798</v>
      </c>
      <c r="C13" s="25" t="n">
        <f aca="false">'KPI ANALYSIS'!$C$8-'KPI ANALYSIS'!$C$11</f>
        <v>151</v>
      </c>
      <c r="D13" s="23" t="s">
        <v>771</v>
      </c>
      <c r="E13" s="26"/>
      <c r="F13" s="26"/>
      <c r="G13" s="23" t="s">
        <v>799</v>
      </c>
      <c r="H13" s="23" t="s">
        <v>800</v>
      </c>
      <c r="I13" s="23" t="s">
        <v>801</v>
      </c>
      <c r="J13" s="23" t="s">
        <v>802</v>
      </c>
    </row>
    <row r="14" customFormat="false" ht="32.8" hidden="false" customHeight="false" outlineLevel="0" collapsed="false">
      <c r="A14" s="23" t="n">
        <v>6</v>
      </c>
      <c r="B14" s="24" t="s">
        <v>803</v>
      </c>
      <c r="C14" s="28" t="n">
        <f aca="false">IFERROR('KPI ANALYSIS'!$C$9/'KPI ANALYSIS'!$C$13,"n/a")</f>
        <v>0.801324503311258</v>
      </c>
      <c r="D14" s="23" t="s">
        <v>804</v>
      </c>
      <c r="E14" s="26" t="n">
        <f aca="false">'KPI ANALYSIS'!$C$9</f>
        <v>121</v>
      </c>
      <c r="F14" s="26" t="n">
        <f aca="false">'KPI ANALYSIS'!$C$13</f>
        <v>151</v>
      </c>
      <c r="G14" s="23" t="s">
        <v>805</v>
      </c>
      <c r="H14" s="23" t="s">
        <v>806</v>
      </c>
      <c r="I14" s="23" t="s">
        <v>807</v>
      </c>
      <c r="J14" s="23" t="s">
        <v>808</v>
      </c>
    </row>
    <row r="15" customFormat="false" ht="15" hidden="false" customHeight="false" outlineLevel="0" collapsed="false">
      <c r="A15" s="23" t="n">
        <v>7</v>
      </c>
      <c r="B15" s="24" t="s">
        <v>809</v>
      </c>
      <c r="C15" s="28" t="n">
        <f aca="false">IFERROR('KPI ANALYSIS'!$C$11/'KPI ANALYSIS'!$C$8,"n/a")</f>
        <v>0.05625</v>
      </c>
      <c r="D15" s="23" t="s">
        <v>804</v>
      </c>
      <c r="E15" s="26" t="n">
        <f aca="false">'KPI ANALYSIS'!$C$11</f>
        <v>9</v>
      </c>
      <c r="F15" s="26" t="n">
        <f aca="false">'KPI ANALYSIS'!$C$8</f>
        <v>160</v>
      </c>
      <c r="G15" s="23" t="s">
        <v>810</v>
      </c>
      <c r="H15" s="23" t="s">
        <v>811</v>
      </c>
      <c r="I15" s="23" t="s">
        <v>796</v>
      </c>
      <c r="J15" s="23" t="s">
        <v>812</v>
      </c>
    </row>
    <row r="16" customFormat="false" ht="15" hidden="false" customHeight="false" outlineLevel="0" collapsed="false">
      <c r="A16" s="23" t="n">
        <v>8</v>
      </c>
      <c r="B16" s="24" t="s">
        <v>813</v>
      </c>
      <c r="C16" s="25" t="n">
        <f aca="false">'KPI ANALYSIS'!$C$10</f>
        <v>30</v>
      </c>
      <c r="D16" s="23" t="s">
        <v>771</v>
      </c>
      <c r="E16" s="26"/>
      <c r="F16" s="26"/>
      <c r="G16" s="23" t="s">
        <v>814</v>
      </c>
      <c r="H16" s="23" t="s">
        <v>815</v>
      </c>
      <c r="I16" s="23" t="s">
        <v>816</v>
      </c>
      <c r="J16" s="23" t="s">
        <v>817</v>
      </c>
    </row>
    <row r="17" customFormat="false" ht="15" hidden="false" customHeight="false" outlineLevel="0" collapsed="false">
      <c r="A17" s="23" t="n">
        <v>9</v>
      </c>
      <c r="B17" s="24" t="s">
        <v>818</v>
      </c>
      <c r="C17" s="29" t="n">
        <f aca="false">SUMIFS('CLEANED DATA'!$H$2:$H$1000,'CLEANED DATA'!$N$2:$N$1000,"Pending")</f>
        <v>27374000</v>
      </c>
      <c r="D17" s="23" t="s">
        <v>819</v>
      </c>
      <c r="E17" s="30"/>
      <c r="F17" s="30"/>
      <c r="G17" s="23" t="s">
        <v>820</v>
      </c>
      <c r="H17" s="23" t="s">
        <v>821</v>
      </c>
      <c r="I17" s="23" t="s">
        <v>822</v>
      </c>
      <c r="J17" s="23" t="s">
        <v>823</v>
      </c>
    </row>
    <row r="18" customFormat="false" ht="15" hidden="false" customHeight="false" outlineLevel="0" collapsed="false">
      <c r="A18" s="21" t="s">
        <v>824</v>
      </c>
      <c r="B18" s="22"/>
      <c r="C18" s="22"/>
      <c r="D18" s="22"/>
      <c r="E18" s="22"/>
      <c r="F18" s="22"/>
      <c r="G18" s="22"/>
      <c r="H18" s="22"/>
      <c r="I18" s="22"/>
      <c r="J18" s="22"/>
    </row>
    <row r="19" customFormat="false" ht="22.35" hidden="false" customHeight="false" outlineLevel="0" collapsed="false">
      <c r="A19" s="23" t="n">
        <v>10</v>
      </c>
      <c r="B19" s="24" t="s">
        <v>825</v>
      </c>
      <c r="C19" s="25" t="n">
        <f aca="false">SUM('CLEANED DATA'!$X$2:$X$1000)</f>
        <v>132</v>
      </c>
      <c r="D19" s="23" t="s">
        <v>771</v>
      </c>
      <c r="E19" s="26"/>
      <c r="F19" s="26"/>
      <c r="G19" s="23" t="s">
        <v>826</v>
      </c>
      <c r="H19" s="23" t="s">
        <v>827</v>
      </c>
      <c r="I19" s="23" t="s">
        <v>828</v>
      </c>
      <c r="J19" s="23" t="s">
        <v>829</v>
      </c>
    </row>
    <row r="20" customFormat="false" ht="15" hidden="false" customHeight="false" outlineLevel="0" collapsed="false">
      <c r="A20" s="23" t="n">
        <v>11</v>
      </c>
      <c r="B20" s="24" t="s">
        <v>830</v>
      </c>
      <c r="C20" s="25" t="n">
        <f aca="false">COUNTIFS('CLEANED DATA'!$X$2:$X$1000,1,'CLEANED DATA'!$Y$2:$Y$1000,1)</f>
        <v>130</v>
      </c>
      <c r="D20" s="23" t="s">
        <v>771</v>
      </c>
      <c r="E20" s="26"/>
      <c r="F20" s="26"/>
      <c r="G20" s="23" t="s">
        <v>831</v>
      </c>
      <c r="H20" s="23" t="s">
        <v>832</v>
      </c>
      <c r="I20" s="23" t="s">
        <v>833</v>
      </c>
      <c r="J20" s="23" t="s">
        <v>834</v>
      </c>
    </row>
    <row r="21" customFormat="false" ht="22.35" hidden="false" customHeight="false" outlineLevel="0" collapsed="false">
      <c r="A21" s="23" t="n">
        <v>12</v>
      </c>
      <c r="B21" s="24" t="s">
        <v>835</v>
      </c>
      <c r="C21" s="28" t="n">
        <f aca="false">IFERROR('KPI ANALYSIS'!$C$20/'KPI ANALYSIS'!$C$19,"n/a")</f>
        <v>0.984848484848485</v>
      </c>
      <c r="D21" s="23" t="s">
        <v>804</v>
      </c>
      <c r="E21" s="26" t="n">
        <f aca="false">'KPI ANALYSIS'!$C$20</f>
        <v>130</v>
      </c>
      <c r="F21" s="26" t="n">
        <f aca="false">'KPI ANALYSIS'!$C$19</f>
        <v>132</v>
      </c>
      <c r="G21" s="23" t="s">
        <v>836</v>
      </c>
      <c r="H21" s="23" t="s">
        <v>837</v>
      </c>
      <c r="I21" s="23" t="s">
        <v>838</v>
      </c>
      <c r="J21" s="23" t="s">
        <v>839</v>
      </c>
    </row>
    <row r="22" customFormat="false" ht="22.35" hidden="false" customHeight="false" outlineLevel="0" collapsed="false">
      <c r="A22" s="23" t="n">
        <v>13</v>
      </c>
      <c r="B22" s="24" t="s">
        <v>840</v>
      </c>
      <c r="C22" s="25" t="n">
        <f aca="false">COUNT('CLEANED DATA'!$Z$2:$Z$1000)</f>
        <v>134</v>
      </c>
      <c r="D22" s="23" t="s">
        <v>771</v>
      </c>
      <c r="E22" s="26"/>
      <c r="F22" s="26"/>
      <c r="G22" s="23" t="s">
        <v>841</v>
      </c>
      <c r="H22" s="23" t="s">
        <v>842</v>
      </c>
      <c r="I22" s="23" t="s">
        <v>843</v>
      </c>
      <c r="J22" s="23" t="s">
        <v>844</v>
      </c>
    </row>
    <row r="23" customFormat="false" ht="22.35" hidden="false" customHeight="false" outlineLevel="0" collapsed="false">
      <c r="A23" s="23" t="n">
        <v>14</v>
      </c>
      <c r="B23" s="24" t="s">
        <v>845</v>
      </c>
      <c r="C23" s="25" t="n">
        <f aca="false">COUNTIF('CLEANED DATA'!$Z$2:$Z$1000,"&lt;=0")</f>
        <v>97</v>
      </c>
      <c r="D23" s="23" t="s">
        <v>771</v>
      </c>
      <c r="E23" s="26"/>
      <c r="F23" s="26"/>
      <c r="G23" s="23" t="s">
        <v>846</v>
      </c>
      <c r="H23" s="23" t="s">
        <v>847</v>
      </c>
      <c r="I23" s="23" t="s">
        <v>848</v>
      </c>
      <c r="J23" s="23" t="s">
        <v>849</v>
      </c>
    </row>
    <row r="24" customFormat="false" ht="15" hidden="false" customHeight="false" outlineLevel="0" collapsed="false">
      <c r="A24" s="23" t="n">
        <v>15</v>
      </c>
      <c r="B24" s="24" t="s">
        <v>850</v>
      </c>
      <c r="C24" s="25" t="n">
        <f aca="false">COUNTIF('CLEANED DATA'!$Z$2:$Z$1000,"&gt;0")</f>
        <v>37</v>
      </c>
      <c r="D24" s="23" t="s">
        <v>771</v>
      </c>
      <c r="E24" s="26"/>
      <c r="F24" s="26"/>
      <c r="G24" s="23" t="s">
        <v>851</v>
      </c>
      <c r="H24" s="23" t="s">
        <v>852</v>
      </c>
      <c r="I24" s="23" t="s">
        <v>848</v>
      </c>
      <c r="J24" s="23" t="s">
        <v>853</v>
      </c>
    </row>
    <row r="25" customFormat="false" ht="22.35" hidden="false" customHeight="false" outlineLevel="0" collapsed="false">
      <c r="A25" s="23" t="n">
        <v>16</v>
      </c>
      <c r="B25" s="24" t="s">
        <v>854</v>
      </c>
      <c r="C25" s="28" t="n">
        <f aca="false">IFERROR('KPI ANALYSIS'!$C$23/'KPI ANALYSIS'!$C$22,"n/a")</f>
        <v>0.723880597014925</v>
      </c>
      <c r="D25" s="23" t="s">
        <v>804</v>
      </c>
      <c r="E25" s="26" t="n">
        <f aca="false">'KPI ANALYSIS'!$C$23</f>
        <v>97</v>
      </c>
      <c r="F25" s="26" t="n">
        <f aca="false">'KPI ANALYSIS'!$C$22</f>
        <v>134</v>
      </c>
      <c r="G25" s="23" t="s">
        <v>855</v>
      </c>
      <c r="H25" s="23" t="s">
        <v>856</v>
      </c>
      <c r="I25" s="23" t="s">
        <v>857</v>
      </c>
      <c r="J25" s="23" t="s">
        <v>858</v>
      </c>
    </row>
    <row r="26" customFormat="false" ht="15" hidden="false" customHeight="false" outlineLevel="0" collapsed="false">
      <c r="A26" s="23" t="n">
        <v>17</v>
      </c>
      <c r="B26" s="24" t="s">
        <v>859</v>
      </c>
      <c r="C26" s="31" t="n">
        <f aca="false">IFERROR(AVERAGEIF('CLEANED DATA'!$Z$2:$Z$1000,"&gt;0"),"n/a")</f>
        <v>6.7027027027027</v>
      </c>
      <c r="D26" s="23" t="s">
        <v>860</v>
      </c>
      <c r="E26" s="32"/>
      <c r="F26" s="32"/>
      <c r="G26" s="23" t="s">
        <v>861</v>
      </c>
      <c r="H26" s="23" t="s">
        <v>862</v>
      </c>
      <c r="I26" s="23" t="s">
        <v>863</v>
      </c>
      <c r="J26" s="23" t="s">
        <v>864</v>
      </c>
    </row>
    <row r="27" customFormat="false" ht="22.35" hidden="false" customHeight="false" outlineLevel="0" collapsed="false">
      <c r="A27" s="23" t="n">
        <v>18</v>
      </c>
      <c r="B27" s="24" t="s">
        <v>865</v>
      </c>
      <c r="C27" s="31" t="n">
        <f aca="false">IFERROR(AVERAGE('CLEANED DATA'!$Z$2:$Z$1000),"n/a")</f>
        <v>-1.50746268656716</v>
      </c>
      <c r="D27" s="23" t="s">
        <v>860</v>
      </c>
      <c r="E27" s="32"/>
      <c r="F27" s="32"/>
      <c r="G27" s="23" t="s">
        <v>866</v>
      </c>
      <c r="H27" s="23" t="s">
        <v>867</v>
      </c>
      <c r="I27" s="23" t="s">
        <v>848</v>
      </c>
      <c r="J27" s="23" t="s">
        <v>868</v>
      </c>
    </row>
    <row r="28" customFormat="false" ht="15" hidden="false" customHeight="false" outlineLevel="0" collapsed="false">
      <c r="A28" s="23" t="n">
        <v>19</v>
      </c>
      <c r="B28" s="24" t="s">
        <v>869</v>
      </c>
      <c r="C28" s="31" t="n">
        <f aca="false">IFERROR(MAX('CLEANED DATA'!$Z$2:$Z$1000),"n/a")</f>
        <v>60</v>
      </c>
      <c r="D28" s="23" t="s">
        <v>860</v>
      </c>
      <c r="E28" s="32"/>
      <c r="F28" s="32"/>
      <c r="G28" s="23" t="s">
        <v>870</v>
      </c>
      <c r="H28" s="23" t="s">
        <v>871</v>
      </c>
      <c r="I28" s="23" t="s">
        <v>848</v>
      </c>
      <c r="J28" s="23" t="s">
        <v>872</v>
      </c>
    </row>
    <row r="29" customFormat="false" ht="15" hidden="false" customHeight="false" outlineLevel="0" collapsed="false">
      <c r="A29" s="21" t="s">
        <v>873</v>
      </c>
      <c r="B29" s="22"/>
      <c r="C29" s="22"/>
      <c r="D29" s="22"/>
      <c r="E29" s="22"/>
      <c r="F29" s="22"/>
      <c r="G29" s="22"/>
      <c r="H29" s="22"/>
      <c r="I29" s="22"/>
      <c r="J29" s="22"/>
    </row>
    <row r="30" customFormat="false" ht="32.8" hidden="false" customHeight="false" outlineLevel="0" collapsed="false">
      <c r="A30" s="23" t="n">
        <v>20</v>
      </c>
      <c r="B30" s="24" t="s">
        <v>874</v>
      </c>
      <c r="C30" s="25" t="n">
        <f aca="false">SUM('CLEANED DATA'!$AB$2:$AB$1000)</f>
        <v>125</v>
      </c>
      <c r="D30" s="23" t="s">
        <v>771</v>
      </c>
      <c r="E30" s="26"/>
      <c r="F30" s="26"/>
      <c r="G30" s="23" t="s">
        <v>875</v>
      </c>
      <c r="H30" s="23" t="s">
        <v>876</v>
      </c>
      <c r="I30" s="23" t="s">
        <v>877</v>
      </c>
      <c r="J30" s="23" t="s">
        <v>878</v>
      </c>
    </row>
    <row r="31" customFormat="false" ht="15" hidden="false" customHeight="false" outlineLevel="0" collapsed="false">
      <c r="A31" s="23" t="n">
        <v>21</v>
      </c>
      <c r="B31" s="24" t="s">
        <v>879</v>
      </c>
      <c r="C31" s="25" t="n">
        <f aca="false">COUNTIFS('CLEANED DATA'!$AB$2:$AB$1000,1,'CLEANED DATA'!$AC$2:$AC$1000,1)</f>
        <v>117</v>
      </c>
      <c r="D31" s="23" t="s">
        <v>771</v>
      </c>
      <c r="E31" s="26"/>
      <c r="F31" s="26"/>
      <c r="G31" s="23" t="s">
        <v>880</v>
      </c>
      <c r="H31" s="23" t="s">
        <v>881</v>
      </c>
      <c r="I31" s="23" t="s">
        <v>882</v>
      </c>
      <c r="J31" s="23" t="s">
        <v>883</v>
      </c>
    </row>
    <row r="32" customFormat="false" ht="22.35" hidden="false" customHeight="false" outlineLevel="0" collapsed="false">
      <c r="A32" s="23" t="n">
        <v>22</v>
      </c>
      <c r="B32" s="24" t="s">
        <v>884</v>
      </c>
      <c r="C32" s="28" t="n">
        <f aca="false">IFERROR('KPI ANALYSIS'!$C$31/'KPI ANALYSIS'!$C$30,"n/a")</f>
        <v>0.936</v>
      </c>
      <c r="D32" s="23" t="s">
        <v>804</v>
      </c>
      <c r="E32" s="26" t="n">
        <f aca="false">'KPI ANALYSIS'!$C$31</f>
        <v>117</v>
      </c>
      <c r="F32" s="26" t="n">
        <f aca="false">'KPI ANALYSIS'!$C$30</f>
        <v>125</v>
      </c>
      <c r="G32" s="23" t="s">
        <v>885</v>
      </c>
      <c r="H32" s="23" t="s">
        <v>886</v>
      </c>
      <c r="I32" s="23" t="s">
        <v>838</v>
      </c>
      <c r="J32" s="23" t="s">
        <v>887</v>
      </c>
    </row>
    <row r="33" customFormat="false" ht="15" hidden="false" customHeight="false" outlineLevel="0" collapsed="false">
      <c r="A33" s="23" t="n">
        <v>23</v>
      </c>
      <c r="B33" s="24" t="s">
        <v>888</v>
      </c>
      <c r="C33" s="25" t="n">
        <f aca="false">SUM('CLEANED DATA'!$AC$2:$AC$1000)</f>
        <v>121</v>
      </c>
      <c r="D33" s="23" t="s">
        <v>771</v>
      </c>
      <c r="E33" s="26"/>
      <c r="F33" s="26"/>
      <c r="G33" s="23" t="s">
        <v>889</v>
      </c>
      <c r="H33" s="23" t="s">
        <v>890</v>
      </c>
      <c r="I33" s="23" t="s">
        <v>891</v>
      </c>
      <c r="J33" s="23" t="s">
        <v>892</v>
      </c>
    </row>
    <row r="34" customFormat="false" ht="22.35" hidden="false" customHeight="false" outlineLevel="0" collapsed="false">
      <c r="A34" s="23" t="n">
        <v>24</v>
      </c>
      <c r="B34" s="24" t="s">
        <v>893</v>
      </c>
      <c r="C34" s="25" t="n">
        <f aca="false">COUNTIFS('CLEANED DATA'!$Y$2:$Y$1000,1,'CLEANED DATA'!$AC$2:$AC$1000,0)</f>
        <v>14</v>
      </c>
      <c r="D34" s="23" t="s">
        <v>771</v>
      </c>
      <c r="E34" s="26"/>
      <c r="F34" s="26"/>
      <c r="G34" s="23" t="s">
        <v>894</v>
      </c>
      <c r="H34" s="23" t="s">
        <v>895</v>
      </c>
      <c r="I34" s="23" t="s">
        <v>896</v>
      </c>
      <c r="J34" s="23" t="s">
        <v>897</v>
      </c>
    </row>
    <row r="35" customFormat="false" ht="22.35" hidden="false" customHeight="false" outlineLevel="0" collapsed="false">
      <c r="A35" s="23" t="n">
        <v>25</v>
      </c>
      <c r="B35" s="24" t="s">
        <v>898</v>
      </c>
      <c r="C35" s="25" t="n">
        <f aca="false">COUNT('CLEANED DATA'!$AD$2:$AD$1000)</f>
        <v>118</v>
      </c>
      <c r="D35" s="23" t="s">
        <v>771</v>
      </c>
      <c r="E35" s="26"/>
      <c r="F35" s="26"/>
      <c r="G35" s="23" t="s">
        <v>899</v>
      </c>
      <c r="H35" s="23" t="s">
        <v>900</v>
      </c>
      <c r="I35" s="23" t="s">
        <v>901</v>
      </c>
      <c r="J35" s="23" t="s">
        <v>902</v>
      </c>
    </row>
    <row r="36" customFormat="false" ht="22.35" hidden="false" customHeight="false" outlineLevel="0" collapsed="false">
      <c r="A36" s="23" t="n">
        <v>26</v>
      </c>
      <c r="B36" s="24" t="s">
        <v>903</v>
      </c>
      <c r="C36" s="28" t="n">
        <f aca="false">IFERROR(COUNTIF('CLEANED DATA'!$AD$2:$AD$1000,"&lt;=0")/'KPI ANALYSIS'!$C$35,"n/a")</f>
        <v>0.601694915254237</v>
      </c>
      <c r="D36" s="23" t="s">
        <v>804</v>
      </c>
      <c r="E36" s="26" t="n">
        <f aca="false">COUNTIF('CLEANED DATA'!$AD$2:$AD$1000,"&lt;=0")</f>
        <v>71</v>
      </c>
      <c r="F36" s="26" t="n">
        <f aca="false">'KPI ANALYSIS'!$C$35</f>
        <v>118</v>
      </c>
      <c r="G36" s="23" t="s">
        <v>904</v>
      </c>
      <c r="H36" s="23" t="s">
        <v>905</v>
      </c>
      <c r="I36" s="23" t="s">
        <v>906</v>
      </c>
      <c r="J36" s="23" t="s">
        <v>907</v>
      </c>
    </row>
    <row r="37" customFormat="false" ht="15" hidden="false" customHeight="false" outlineLevel="0" collapsed="false">
      <c r="A37" s="23" t="n">
        <v>27</v>
      </c>
      <c r="B37" s="24" t="s">
        <v>908</v>
      </c>
      <c r="C37" s="31" t="n">
        <f aca="false">IFERROR(AVERAGEIF('CLEANED DATA'!$AD$2:$AD$1000,"&gt;0"),"n/a")</f>
        <v>10.4468085106383</v>
      </c>
      <c r="D37" s="23" t="s">
        <v>860</v>
      </c>
      <c r="E37" s="32"/>
      <c r="F37" s="32"/>
      <c r="G37" s="23" t="s">
        <v>909</v>
      </c>
      <c r="H37" s="23" t="s">
        <v>910</v>
      </c>
      <c r="I37" s="23" t="s">
        <v>911</v>
      </c>
      <c r="J37" s="23" t="s">
        <v>912</v>
      </c>
    </row>
    <row r="38" customFormat="false" ht="22.35" hidden="false" customHeight="false" outlineLevel="0" collapsed="false">
      <c r="A38" s="23" t="n">
        <v>28</v>
      </c>
      <c r="B38" s="24" t="s">
        <v>913</v>
      </c>
      <c r="C38" s="31" t="n">
        <f aca="false">IFERROR(AVERAGE('CLEANED DATA'!$AH$2:$AH$1000),"n/a")</f>
        <v>6.73504273504274</v>
      </c>
      <c r="D38" s="23" t="s">
        <v>860</v>
      </c>
      <c r="E38" s="32"/>
      <c r="F38" s="32"/>
      <c r="G38" s="23" t="s">
        <v>914</v>
      </c>
      <c r="H38" s="23" t="s">
        <v>915</v>
      </c>
      <c r="I38" s="23" t="s">
        <v>916</v>
      </c>
      <c r="J38" s="23" t="s">
        <v>917</v>
      </c>
    </row>
    <row r="39" customFormat="false" ht="15" hidden="false" customHeight="false" outlineLevel="0" collapsed="false">
      <c r="A39" s="21" t="s">
        <v>918</v>
      </c>
      <c r="B39" s="22"/>
      <c r="C39" s="22"/>
      <c r="D39" s="22"/>
      <c r="E39" s="22"/>
      <c r="F39" s="22"/>
      <c r="G39" s="22"/>
      <c r="H39" s="22"/>
      <c r="I39" s="22"/>
      <c r="J39" s="22"/>
    </row>
    <row r="40" customFormat="false" ht="15" hidden="false" customHeight="false" outlineLevel="0" collapsed="false">
      <c r="A40" s="23" t="n">
        <v>29</v>
      </c>
      <c r="B40" s="24" t="s">
        <v>919</v>
      </c>
      <c r="C40" s="31" t="n">
        <f aca="false">IFERROR(AVERAGE('CLEANED DATA'!$AF$2:$AF$1000),"n/a")</f>
        <v>13.1691176470588</v>
      </c>
      <c r="D40" s="23" t="s">
        <v>860</v>
      </c>
      <c r="E40" s="32"/>
      <c r="F40" s="32"/>
      <c r="G40" s="23" t="s">
        <v>920</v>
      </c>
      <c r="H40" s="23" t="s">
        <v>921</v>
      </c>
      <c r="I40" s="23" t="s">
        <v>922</v>
      </c>
      <c r="J40" s="23" t="s">
        <v>923</v>
      </c>
    </row>
    <row r="41" customFormat="false" ht="15" hidden="false" customHeight="false" outlineLevel="0" collapsed="false">
      <c r="A41" s="23" t="n">
        <v>30</v>
      </c>
      <c r="B41" s="24" t="s">
        <v>924</v>
      </c>
      <c r="C41" s="31" t="n">
        <f aca="false">IFERROR(AVERAGE('CLEANED DATA'!$AG$2:$AG$1000),"n/a")</f>
        <v>3.09774436090226</v>
      </c>
      <c r="D41" s="23" t="s">
        <v>860</v>
      </c>
      <c r="E41" s="32"/>
      <c r="F41" s="32"/>
      <c r="G41" s="23" t="s">
        <v>925</v>
      </c>
      <c r="H41" s="23" t="s">
        <v>926</v>
      </c>
      <c r="I41" s="23" t="s">
        <v>927</v>
      </c>
      <c r="J41" s="23" t="s">
        <v>928</v>
      </c>
    </row>
    <row r="42" customFormat="false" ht="15" hidden="false" customHeight="false" outlineLevel="0" collapsed="false">
      <c r="A42" s="23" t="n">
        <v>31</v>
      </c>
      <c r="B42" s="24" t="s">
        <v>929</v>
      </c>
      <c r="C42" s="31" t="n">
        <f aca="false">IFERROR(AVERAGE('CLEANED DATA'!$AI$2:$AI$1000),"n/a")</f>
        <v>16.0074626865672</v>
      </c>
      <c r="D42" s="23" t="s">
        <v>860</v>
      </c>
      <c r="E42" s="32"/>
      <c r="F42" s="32"/>
      <c r="G42" s="23" t="s">
        <v>930</v>
      </c>
      <c r="H42" s="23" t="s">
        <v>931</v>
      </c>
      <c r="I42" s="23" t="s">
        <v>932</v>
      </c>
      <c r="J42" s="23" t="s">
        <v>933</v>
      </c>
    </row>
    <row r="43" customFormat="false" ht="22.35" hidden="false" customHeight="false" outlineLevel="0" collapsed="false">
      <c r="A43" s="23" t="n">
        <v>32</v>
      </c>
      <c r="B43" s="24" t="s">
        <v>934</v>
      </c>
      <c r="C43" s="31" t="n">
        <f aca="false">IFERROR(AVERAGE('CLEANED DATA'!$AJ$2:$AJ$1000),"n/a")</f>
        <v>22.3898305084746</v>
      </c>
      <c r="D43" s="23" t="s">
        <v>860</v>
      </c>
      <c r="E43" s="32"/>
      <c r="F43" s="32"/>
      <c r="G43" s="23" t="s">
        <v>935</v>
      </c>
      <c r="H43" s="23" t="s">
        <v>936</v>
      </c>
      <c r="I43" s="23" t="s">
        <v>937</v>
      </c>
      <c r="J43" s="23" t="s">
        <v>938</v>
      </c>
    </row>
    <row r="44" customFormat="false" ht="22.35" hidden="false" customHeight="false" outlineLevel="0" collapsed="false">
      <c r="A44" s="23" t="n">
        <v>33</v>
      </c>
      <c r="B44" s="24" t="s">
        <v>939</v>
      </c>
      <c r="C44" s="25" t="n">
        <f aca="false">SUM('CLEANED DATA'!$AL$2:$AL$1000)</f>
        <v>9</v>
      </c>
      <c r="D44" s="23" t="s">
        <v>771</v>
      </c>
      <c r="E44" s="26"/>
      <c r="F44" s="26"/>
      <c r="G44" s="23" t="s">
        <v>940</v>
      </c>
      <c r="H44" s="23" t="s">
        <v>941</v>
      </c>
      <c r="I44" s="23" t="s">
        <v>942</v>
      </c>
      <c r="J44" s="23" t="s">
        <v>943</v>
      </c>
    </row>
    <row r="45" customFormat="false" ht="15" hidden="false" customHeight="false" outlineLevel="0" collapsed="false">
      <c r="A45" s="23" t="n">
        <v>34</v>
      </c>
      <c r="B45" s="24" t="s">
        <v>944</v>
      </c>
      <c r="C45" s="25" t="n">
        <f aca="false">COUNTIF('CLEANED DATA'!$AN$2:$AN$1000,"Delivery")</f>
        <v>2</v>
      </c>
      <c r="D45" s="23" t="s">
        <v>771</v>
      </c>
      <c r="E45" s="26"/>
      <c r="F45" s="26"/>
      <c r="G45" s="23" t="s">
        <v>945</v>
      </c>
      <c r="H45" s="23" t="s">
        <v>946</v>
      </c>
      <c r="I45" s="23" t="s">
        <v>947</v>
      </c>
      <c r="J45" s="23" t="s">
        <v>948</v>
      </c>
    </row>
    <row r="46" customFormat="false" ht="15" hidden="false" customHeight="false" outlineLevel="0" collapsed="false">
      <c r="A46" s="23" t="n">
        <v>35</v>
      </c>
      <c r="B46" s="24" t="s">
        <v>949</v>
      </c>
      <c r="C46" s="25" t="n">
        <f aca="false">COUNTIF('CLEANED DATA'!$AN$2:$AN$1000,"Installation")</f>
        <v>7</v>
      </c>
      <c r="D46" s="23" t="s">
        <v>771</v>
      </c>
      <c r="E46" s="26"/>
      <c r="F46" s="26"/>
      <c r="G46" s="23" t="s">
        <v>950</v>
      </c>
      <c r="H46" s="23" t="s">
        <v>951</v>
      </c>
      <c r="I46" s="23" t="s">
        <v>947</v>
      </c>
      <c r="J46" s="23" t="s">
        <v>952</v>
      </c>
    </row>
    <row r="47" customFormat="false" ht="22.35" hidden="false" customHeight="false" outlineLevel="0" collapsed="false">
      <c r="A47" s="23" t="n">
        <v>36</v>
      </c>
      <c r="B47" s="24" t="s">
        <v>953</v>
      </c>
      <c r="C47" s="31" t="n">
        <f aca="false">IFERROR(AVERAGE('CLEANED DATA'!$AM$2:$AM$1000),"n/a")</f>
        <v>38.5555555555556</v>
      </c>
      <c r="D47" s="23" t="s">
        <v>860</v>
      </c>
      <c r="E47" s="32"/>
      <c r="F47" s="32"/>
      <c r="G47" s="23" t="s">
        <v>954</v>
      </c>
      <c r="H47" s="23" t="s">
        <v>955</v>
      </c>
      <c r="I47" s="23" t="s">
        <v>947</v>
      </c>
      <c r="J47" s="23" t="s">
        <v>956</v>
      </c>
    </row>
    <row r="48" customFormat="false" ht="15" hidden="false" customHeight="false" outlineLevel="0" collapsed="false">
      <c r="A48" s="21" t="s">
        <v>957</v>
      </c>
      <c r="B48" s="22"/>
      <c r="C48" s="22"/>
      <c r="D48" s="22"/>
      <c r="E48" s="22"/>
      <c r="F48" s="22"/>
      <c r="G48" s="22"/>
      <c r="H48" s="22"/>
      <c r="I48" s="22"/>
      <c r="J48" s="22"/>
    </row>
    <row r="49" customFormat="false" ht="22.35" hidden="false" customHeight="false" outlineLevel="0" collapsed="false">
      <c r="A49" s="23" t="n">
        <v>37</v>
      </c>
      <c r="B49" s="24" t="s">
        <v>958</v>
      </c>
      <c r="C49" s="29" t="n">
        <f aca="false">SUMIFS('CLEANED DATA'!$H$2:$H$1000,'CLEANED DATA'!$N$2:$N$1000,"&lt;&gt;Cancelled")</f>
        <v>112001000</v>
      </c>
      <c r="D49" s="23" t="s">
        <v>819</v>
      </c>
      <c r="E49" s="30"/>
      <c r="F49" s="30"/>
      <c r="G49" s="23" t="s">
        <v>959</v>
      </c>
      <c r="H49" s="23" t="s">
        <v>960</v>
      </c>
      <c r="I49" s="23" t="s">
        <v>961</v>
      </c>
      <c r="J49" s="23" t="s">
        <v>962</v>
      </c>
    </row>
    <row r="50" customFormat="false" ht="15" hidden="false" customHeight="false" outlineLevel="0" collapsed="false">
      <c r="A50" s="23" t="n">
        <v>38</v>
      </c>
      <c r="B50" s="24" t="s">
        <v>963</v>
      </c>
      <c r="C50" s="25" t="n">
        <f aca="false">SUMPRODUCT(('CLEANED DATA'!$A$2:$A$1000&lt;&gt;"")*('CLEANED DATA'!$H$2:$H$1000=""))</f>
        <v>3</v>
      </c>
      <c r="D50" s="23" t="s">
        <v>771</v>
      </c>
      <c r="E50" s="26"/>
      <c r="F50" s="26"/>
      <c r="G50" s="23" t="s">
        <v>964</v>
      </c>
      <c r="H50" s="23" t="s">
        <v>965</v>
      </c>
      <c r="I50" s="23" t="s">
        <v>796</v>
      </c>
      <c r="J50" s="23" t="s">
        <v>966</v>
      </c>
    </row>
    <row r="51" customFormat="false" ht="15" hidden="false" customHeight="false" outlineLevel="0" collapsed="false">
      <c r="A51" s="23" t="n">
        <v>39</v>
      </c>
      <c r="B51" s="24" t="s">
        <v>967</v>
      </c>
      <c r="C51" s="29" t="n">
        <f aca="false">SUMIFS('CLEANED DATA'!$H$2:$H$1000,'CLEANED DATA'!$N$2:$N$1000,"Completed")</f>
        <v>84627000</v>
      </c>
      <c r="D51" s="23" t="s">
        <v>819</v>
      </c>
      <c r="E51" s="30"/>
      <c r="F51" s="30"/>
      <c r="G51" s="23" t="s">
        <v>968</v>
      </c>
      <c r="H51" s="23" t="s">
        <v>969</v>
      </c>
      <c r="I51" s="23" t="s">
        <v>970</v>
      </c>
      <c r="J51" s="23" t="s">
        <v>971</v>
      </c>
    </row>
    <row r="52" customFormat="false" ht="15" hidden="false" customHeight="false" outlineLevel="0" collapsed="false">
      <c r="A52" s="21" t="s">
        <v>972</v>
      </c>
      <c r="B52" s="22"/>
      <c r="C52" s="22"/>
      <c r="D52" s="22"/>
      <c r="E52" s="22"/>
      <c r="F52" s="22"/>
      <c r="G52" s="22"/>
      <c r="H52" s="22"/>
      <c r="I52" s="22"/>
      <c r="J52" s="22"/>
    </row>
    <row r="53" customFormat="false" ht="22.35" hidden="false" customHeight="false" outlineLevel="0" collapsed="false">
      <c r="A53" s="23" t="n">
        <v>40</v>
      </c>
      <c r="B53" s="24" t="s">
        <v>973</v>
      </c>
      <c r="C53" s="25" t="n">
        <f aca="false">COUNTIFS('CLEANED DATA'!$S$2:$S$1000,"&lt;&gt;OK",'CLEANED DATA'!$S$2:$S$1000,"&lt;&gt;")</f>
        <v>9</v>
      </c>
      <c r="D53" s="23" t="s">
        <v>771</v>
      </c>
      <c r="E53" s="26"/>
      <c r="F53" s="26"/>
      <c r="G53" s="23" t="s">
        <v>974</v>
      </c>
      <c r="H53" s="23" t="s">
        <v>975</v>
      </c>
      <c r="I53" s="23" t="s">
        <v>796</v>
      </c>
      <c r="J53" s="23" t="s">
        <v>976</v>
      </c>
    </row>
    <row r="54" customFormat="false" ht="15" hidden="false" customHeight="false" outlineLevel="0" collapsed="false">
      <c r="A54" s="23" t="n">
        <v>41</v>
      </c>
      <c r="B54" s="24" t="s">
        <v>977</v>
      </c>
      <c r="C54" s="25" t="n">
        <f aca="false">COUNTIFS('CLEANED DATA'!$Z$2:$Z$1000,"&gt;0",'CLEANED DATA'!$O$2:$O$1000,"")</f>
        <v>8</v>
      </c>
      <c r="D54" s="23" t="s">
        <v>771</v>
      </c>
      <c r="E54" s="26"/>
      <c r="F54" s="26"/>
      <c r="G54" s="23" t="s">
        <v>978</v>
      </c>
      <c r="H54" s="23" t="s">
        <v>979</v>
      </c>
      <c r="I54" s="23" t="s">
        <v>980</v>
      </c>
      <c r="J54" s="23" t="s">
        <v>981</v>
      </c>
    </row>
    <row r="55" customFormat="false" ht="15" hidden="false" customHeight="false" outlineLevel="0" collapsed="false">
      <c r="A55" s="23" t="n">
        <v>42</v>
      </c>
      <c r="B55" s="24" t="s">
        <v>982</v>
      </c>
      <c r="C55" s="25" t="n">
        <f aca="false">COUNTIFS('CLEANED DATA'!$AD$2:$AD$1000,"&gt;0",'CLEANED DATA'!$P$2:$P$1000,"")</f>
        <v>14</v>
      </c>
      <c r="D55" s="23" t="s">
        <v>771</v>
      </c>
      <c r="E55" s="26"/>
      <c r="F55" s="26"/>
      <c r="G55" s="23" t="s">
        <v>983</v>
      </c>
      <c r="H55" s="23" t="s">
        <v>979</v>
      </c>
      <c r="I55" s="23" t="s">
        <v>911</v>
      </c>
      <c r="J55" s="23" t="s">
        <v>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  <col collapsed="false" customWidth="true" hidden="false" outlineLevel="0" max="5" min="5" style="0" width="26"/>
    <col collapsed="false" customWidth="true" hidden="false" outlineLevel="0" max="15" min="6" style="0" width="13"/>
  </cols>
  <sheetData>
    <row r="1" customFormat="false" ht="25.5" hidden="false" customHeight="true" outlineLevel="0" collapsed="false">
      <c r="A1" s="8" t="s">
        <v>985</v>
      </c>
    </row>
    <row r="2" customFormat="false" ht="15" hidden="false" customHeight="false" outlineLevel="0" collapsed="false">
      <c r="A2" s="9" t="s">
        <v>42</v>
      </c>
    </row>
    <row r="3" customFormat="false" ht="15" hidden="false" customHeight="false" outlineLevel="0" collapsed="false">
      <c r="A3" s="10" t="s">
        <v>986</v>
      </c>
    </row>
    <row r="5" customFormat="false" ht="15" hidden="false" customHeight="false" outlineLevel="0" collapsed="false">
      <c r="A5" s="6" t="s">
        <v>987</v>
      </c>
    </row>
    <row r="6" customFormat="false" ht="35.05" hidden="false" customHeight="false" outlineLevel="0" collapsed="false">
      <c r="A6" s="11" t="s">
        <v>49</v>
      </c>
      <c r="B6" s="11" t="s">
        <v>988</v>
      </c>
      <c r="C6" s="11" t="s">
        <v>75</v>
      </c>
      <c r="D6" s="11" t="s">
        <v>328</v>
      </c>
      <c r="E6" s="11" t="s">
        <v>188</v>
      </c>
      <c r="F6" s="11" t="s">
        <v>989</v>
      </c>
      <c r="G6" s="11" t="s">
        <v>848</v>
      </c>
      <c r="H6" s="11" t="s">
        <v>990</v>
      </c>
      <c r="I6" s="11" t="s">
        <v>980</v>
      </c>
      <c r="J6" s="11" t="s">
        <v>991</v>
      </c>
      <c r="K6" s="11" t="s">
        <v>992</v>
      </c>
      <c r="L6" s="11" t="s">
        <v>993</v>
      </c>
      <c r="M6" s="11" t="s">
        <v>994</v>
      </c>
      <c r="N6" s="11" t="s">
        <v>35</v>
      </c>
      <c r="O6" s="11" t="s">
        <v>995</v>
      </c>
    </row>
    <row r="7" customFormat="false" ht="15" hidden="false" customHeight="false" outlineLevel="0" collapsed="false">
      <c r="A7" s="33" t="s">
        <v>160</v>
      </c>
      <c r="B7" s="34" t="n">
        <f aca="false">COUNTIFS('CLEANED DATA'!$F$2:$F$1000,$A7)</f>
        <v>46</v>
      </c>
      <c r="C7" s="34" t="n">
        <f aca="false">COUNTIFS('CLEANED DATA'!$F$2:$F$1000,$A7,'CLEANED DATA'!$N$2:$N$1000,"Completed")</f>
        <v>36</v>
      </c>
      <c r="D7" s="34" t="n">
        <f aca="false">COUNTIFS('CLEANED DATA'!$F$2:$F$1000,$A7,'CLEANED DATA'!$N$2:$N$1000,"Pending")</f>
        <v>6</v>
      </c>
      <c r="E7" s="34" t="n">
        <f aca="false">COUNTIFS('CLEANED DATA'!$F$2:$F$1000,$A7,'CLEANED DATA'!$N$2:$N$1000,"Cancelled")</f>
        <v>4</v>
      </c>
      <c r="F7" s="35" t="n">
        <f aca="false">IFERROR(COUNTIFS('CLEANED DATA'!$F$2:$F$1000,$A7,'CLEANED DATA'!$N$2:$N$1000,"Completed")/(COUNTIFS('CLEANED DATA'!$F$2:$F$1000,$A7)-COUNTIFS('CLEANED DATA'!$F$2:$F$1000,$A7,'CLEANED DATA'!$N$2:$N$1000,"Cancelled")),"")</f>
        <v>0.857142857142857</v>
      </c>
      <c r="G7" s="34" t="n">
        <f aca="false">COUNTIFS('CLEANED DATA'!$F$2:$F$1000,$A7,'CLEANED DATA'!$Z$2:$Z$1000,"&gt;-9999")</f>
        <v>40</v>
      </c>
      <c r="H7" s="35" t="n">
        <f aca="false">IFERROR(COUNTIFS('CLEANED DATA'!$F$2:$F$1000,$A7,'CLEANED DATA'!$Z$2:$Z$1000,"&lt;=0")/COUNTIFS('CLEANED DATA'!$F$2:$F$1000,$A7,'CLEANED DATA'!$Z$2:$Z$1000,"&gt;-9999"),"")</f>
        <v>0.9</v>
      </c>
      <c r="I7" s="34" t="n">
        <f aca="false">COUNTIFS('CLEANED DATA'!$F$2:$F$1000,$A7,'CLEANED DATA'!$Z$2:$Z$1000,"&gt;0")</f>
        <v>4</v>
      </c>
      <c r="J7" s="36" t="n">
        <f aca="false">IFERROR(AVERAGEIFS('CLEANED DATA'!$Z$2:$Z$1000,'CLEANED DATA'!$F$2:$F$1000,$A7,'CLEANED DATA'!$Z$2:$Z$1000,"&gt;0"),"")</f>
        <v>1.75</v>
      </c>
      <c r="K7" s="35" t="n">
        <f aca="false">IFERROR(COUNTIFS('CLEANED DATA'!$F$2:$F$1000,$A7,'CLEANED DATA'!$AD$2:$AD$1000,"&lt;=0")/COUNTIFS('CLEANED DATA'!$F$2:$F$1000,$A7,'CLEANED DATA'!$AD$2:$AD$1000,"&gt;-9999"),"")</f>
        <v>0.638888888888889</v>
      </c>
      <c r="L7" s="36" t="n">
        <f aca="false">IFERROR(AVERAGEIFS('CLEANED DATA'!$AF$2:$AF$1000,'CLEANED DATA'!$F$2:$F$1000,$A7),"")</f>
        <v>4.95121951219512</v>
      </c>
      <c r="M7" s="36" t="n">
        <f aca="false">IFERROR(AVERAGEIFS('CLEANED DATA'!$AJ$2:$AJ$1000,'CLEANED DATA'!$F$2:$F$1000,$A7),"")</f>
        <v>16.75</v>
      </c>
      <c r="N7" s="34" t="n">
        <f aca="false">COUNTIFS('CLEANED DATA'!$F$2:$F$1000,$A7,'CLEANED DATA'!$AL$2:$AL$1000,1)</f>
        <v>2</v>
      </c>
      <c r="O7" s="37" t="n">
        <f aca="false">SUMIFS('CLEANED DATA'!$H$2:$H$1000,'CLEANED DATA'!$F$2:$F$1000,$A7,'CLEANED DATA'!$N$2:$N$1000,"&lt;&gt;Cancelled")</f>
        <v>7432000</v>
      </c>
    </row>
    <row r="8" customFormat="false" ht="15" hidden="false" customHeight="false" outlineLevel="0" collapsed="false">
      <c r="A8" s="33" t="s">
        <v>67</v>
      </c>
      <c r="B8" s="34" t="n">
        <f aca="false">COUNTIFS('CLEANED DATA'!$F$2:$F$1000,$A8)</f>
        <v>40</v>
      </c>
      <c r="C8" s="34" t="n">
        <f aca="false">COUNTIFS('CLEANED DATA'!$F$2:$F$1000,$A8,'CLEANED DATA'!$N$2:$N$1000,"Completed")</f>
        <v>30</v>
      </c>
      <c r="D8" s="34" t="n">
        <f aca="false">COUNTIFS('CLEANED DATA'!$F$2:$F$1000,$A8,'CLEANED DATA'!$N$2:$N$1000,"Pending")</f>
        <v>9</v>
      </c>
      <c r="E8" s="34" t="n">
        <f aca="false">COUNTIFS('CLEANED DATA'!$F$2:$F$1000,$A8,'CLEANED DATA'!$N$2:$N$1000,"Cancelled")</f>
        <v>1</v>
      </c>
      <c r="F8" s="35" t="n">
        <f aca="false">IFERROR(COUNTIFS('CLEANED DATA'!$F$2:$F$1000,$A8,'CLEANED DATA'!$N$2:$N$1000,"Completed")/(COUNTIFS('CLEANED DATA'!$F$2:$F$1000,$A8)-COUNTIFS('CLEANED DATA'!$F$2:$F$1000,$A8,'CLEANED DATA'!$N$2:$N$1000,"Cancelled")),"")</f>
        <v>0.769230769230769</v>
      </c>
      <c r="G8" s="34" t="n">
        <f aca="false">COUNTIFS('CLEANED DATA'!$F$2:$F$1000,$A8,'CLEANED DATA'!$Z$2:$Z$1000,"&gt;-9999")</f>
        <v>34</v>
      </c>
      <c r="H8" s="35" t="n">
        <f aca="false">IFERROR(COUNTIFS('CLEANED DATA'!$F$2:$F$1000,$A8,'CLEANED DATA'!$Z$2:$Z$1000,"&lt;=0")/COUNTIFS('CLEANED DATA'!$F$2:$F$1000,$A8,'CLEANED DATA'!$Z$2:$Z$1000,"&gt;-9999"),"")</f>
        <v>0.558823529411765</v>
      </c>
      <c r="I8" s="34" t="n">
        <f aca="false">COUNTIFS('CLEANED DATA'!$F$2:$F$1000,$A8,'CLEANED DATA'!$Z$2:$Z$1000,"&gt;0")</f>
        <v>15</v>
      </c>
      <c r="J8" s="36" t="n">
        <f aca="false">IFERROR(AVERAGEIFS('CLEANED DATA'!$Z$2:$Z$1000,'CLEANED DATA'!$F$2:$F$1000,$A8,'CLEANED DATA'!$Z$2:$Z$1000,"&gt;0"),"")</f>
        <v>7.13333333333333</v>
      </c>
      <c r="K8" s="35" t="n">
        <f aca="false">IFERROR(COUNTIFS('CLEANED DATA'!$F$2:$F$1000,$A8,'CLEANED DATA'!$AD$2:$AD$1000,"&lt;=0")/COUNTIFS('CLEANED DATA'!$F$2:$F$1000,$A8,'CLEANED DATA'!$AD$2:$AD$1000,"&gt;-9999"),"")</f>
        <v>0.517241379310345</v>
      </c>
      <c r="L8" s="36" t="n">
        <f aca="false">IFERROR(AVERAGEIFS('CLEANED DATA'!$AF$2:$AF$1000,'CLEANED DATA'!$F$2:$F$1000,$A8),"")</f>
        <v>15.5</v>
      </c>
      <c r="M8" s="36" t="n">
        <f aca="false">IFERROR(AVERAGEIFS('CLEANED DATA'!$AJ$2:$AJ$1000,'CLEANED DATA'!$F$2:$F$1000,$A8),"")</f>
        <v>26.5172413793103</v>
      </c>
      <c r="N8" s="34" t="n">
        <f aca="false">COUNTIFS('CLEANED DATA'!$F$2:$F$1000,$A8,'CLEANED DATA'!$AL$2:$AL$1000,1)</f>
        <v>2</v>
      </c>
      <c r="O8" s="37" t="n">
        <f aca="false">SUMIFS('CLEANED DATA'!$H$2:$H$1000,'CLEANED DATA'!$F$2:$F$1000,$A8,'CLEANED DATA'!$N$2:$N$1000,"&lt;&gt;Cancelled")</f>
        <v>50380000</v>
      </c>
    </row>
    <row r="9" customFormat="false" ht="15" hidden="false" customHeight="false" outlineLevel="0" collapsed="false">
      <c r="A9" s="33" t="s">
        <v>150</v>
      </c>
      <c r="B9" s="34" t="n">
        <f aca="false">COUNTIFS('CLEANED DATA'!$F$2:$F$1000,$A9)</f>
        <v>29</v>
      </c>
      <c r="C9" s="34" t="n">
        <f aca="false">COUNTIFS('CLEANED DATA'!$F$2:$F$1000,$A9,'CLEANED DATA'!$N$2:$N$1000,"Completed")</f>
        <v>28</v>
      </c>
      <c r="D9" s="34" t="n">
        <f aca="false">COUNTIFS('CLEANED DATA'!$F$2:$F$1000,$A9,'CLEANED DATA'!$N$2:$N$1000,"Pending")</f>
        <v>1</v>
      </c>
      <c r="E9" s="34" t="n">
        <f aca="false">COUNTIFS('CLEANED DATA'!$F$2:$F$1000,$A9,'CLEANED DATA'!$N$2:$N$1000,"Cancelled")</f>
        <v>0</v>
      </c>
      <c r="F9" s="35" t="n">
        <f aca="false">IFERROR(COUNTIFS('CLEANED DATA'!$F$2:$F$1000,$A9,'CLEANED DATA'!$N$2:$N$1000,"Completed")/(COUNTIFS('CLEANED DATA'!$F$2:$F$1000,$A9)-COUNTIFS('CLEANED DATA'!$F$2:$F$1000,$A9,'CLEANED DATA'!$N$2:$N$1000,"Cancelled")),"")</f>
        <v>0.96551724137931</v>
      </c>
      <c r="G9" s="34" t="n">
        <f aca="false">COUNTIFS('CLEANED DATA'!$F$2:$F$1000,$A9,'CLEANED DATA'!$Z$2:$Z$1000,"&gt;-9999")</f>
        <v>29</v>
      </c>
      <c r="H9" s="35" t="n">
        <f aca="false">IFERROR(COUNTIFS('CLEANED DATA'!$F$2:$F$1000,$A9,'CLEANED DATA'!$Z$2:$Z$1000,"&lt;=0")/COUNTIFS('CLEANED DATA'!$F$2:$F$1000,$A9,'CLEANED DATA'!$Z$2:$Z$1000,"&gt;-9999"),"")</f>
        <v>0.827586206896552</v>
      </c>
      <c r="I9" s="34" t="n">
        <f aca="false">COUNTIFS('CLEANED DATA'!$F$2:$F$1000,$A9,'CLEANED DATA'!$Z$2:$Z$1000,"&gt;0")</f>
        <v>5</v>
      </c>
      <c r="J9" s="36" t="n">
        <f aca="false">IFERROR(AVERAGEIFS('CLEANED DATA'!$Z$2:$Z$1000,'CLEANED DATA'!$F$2:$F$1000,$A9,'CLEANED DATA'!$Z$2:$Z$1000,"&gt;0"),"")</f>
        <v>2.2</v>
      </c>
      <c r="K9" s="35" t="n">
        <f aca="false">IFERROR(COUNTIFS('CLEANED DATA'!$F$2:$F$1000,$A9,'CLEANED DATA'!$AD$2:$AD$1000,"&lt;=0")/COUNTIFS('CLEANED DATA'!$F$2:$F$1000,$A9,'CLEANED DATA'!$AD$2:$AD$1000,"&gt;-9999"),"")</f>
        <v>0.821428571428571</v>
      </c>
      <c r="L9" s="36" t="n">
        <f aca="false">IFERROR(AVERAGEIFS('CLEANED DATA'!$AF$2:$AF$1000,'CLEANED DATA'!$F$2:$F$1000,$A9),"")</f>
        <v>8.78571428571429</v>
      </c>
      <c r="M9" s="36" t="n">
        <f aca="false">IFERROR(AVERAGEIFS('CLEANED DATA'!$AJ$2:$AJ$1000,'CLEANED DATA'!$F$2:$F$1000,$A9),"")</f>
        <v>14.5357142857143</v>
      </c>
      <c r="N9" s="34" t="n">
        <f aca="false">COUNTIFS('CLEANED DATA'!$F$2:$F$1000,$A9,'CLEANED DATA'!$AL$2:$AL$1000,1)</f>
        <v>0</v>
      </c>
      <c r="O9" s="37" t="n">
        <f aca="false">SUMIFS('CLEANED DATA'!$H$2:$H$1000,'CLEANED DATA'!$F$2:$F$1000,$A9,'CLEANED DATA'!$N$2:$N$1000,"&lt;&gt;Cancelled")</f>
        <v>13149000</v>
      </c>
    </row>
    <row r="10" customFormat="false" ht="15" hidden="false" customHeight="false" outlineLevel="0" collapsed="false">
      <c r="A10" s="33" t="s">
        <v>103</v>
      </c>
      <c r="B10" s="34" t="n">
        <f aca="false">COUNTIFS('CLEANED DATA'!$F$2:$F$1000,$A10)</f>
        <v>19</v>
      </c>
      <c r="C10" s="34" t="n">
        <f aca="false">COUNTIFS('CLEANED DATA'!$F$2:$F$1000,$A10,'CLEANED DATA'!$N$2:$N$1000,"Completed")</f>
        <v>14</v>
      </c>
      <c r="D10" s="34" t="n">
        <f aca="false">COUNTIFS('CLEANED DATA'!$F$2:$F$1000,$A10,'CLEANED DATA'!$N$2:$N$1000,"Pending")</f>
        <v>3</v>
      </c>
      <c r="E10" s="34" t="n">
        <f aca="false">COUNTIFS('CLEANED DATA'!$F$2:$F$1000,$A10,'CLEANED DATA'!$N$2:$N$1000,"Cancelled")</f>
        <v>2</v>
      </c>
      <c r="F10" s="35" t="n">
        <f aca="false">IFERROR(COUNTIFS('CLEANED DATA'!$F$2:$F$1000,$A10,'CLEANED DATA'!$N$2:$N$1000,"Completed")/(COUNTIFS('CLEANED DATA'!$F$2:$F$1000,$A10)-COUNTIFS('CLEANED DATA'!$F$2:$F$1000,$A10,'CLEANED DATA'!$N$2:$N$1000,"Cancelled")),"")</f>
        <v>0.823529411764706</v>
      </c>
      <c r="G10" s="34" t="n">
        <f aca="false">COUNTIFS('CLEANED DATA'!$F$2:$F$1000,$A10,'CLEANED DATA'!$Z$2:$Z$1000,"&gt;-9999")</f>
        <v>17</v>
      </c>
      <c r="H10" s="35" t="n">
        <f aca="false">IFERROR(COUNTIFS('CLEANED DATA'!$F$2:$F$1000,$A10,'CLEANED DATA'!$Z$2:$Z$1000,"&lt;=0")/COUNTIFS('CLEANED DATA'!$F$2:$F$1000,$A10,'CLEANED DATA'!$Z$2:$Z$1000,"&gt;-9999"),"")</f>
        <v>0.705882352941177</v>
      </c>
      <c r="I10" s="34" t="n">
        <f aca="false">COUNTIFS('CLEANED DATA'!$F$2:$F$1000,$A10,'CLEANED DATA'!$Z$2:$Z$1000,"&gt;0")</f>
        <v>5</v>
      </c>
      <c r="J10" s="36" t="n">
        <f aca="false">IFERROR(AVERAGEIFS('CLEANED DATA'!$Z$2:$Z$1000,'CLEANED DATA'!$F$2:$F$1000,$A10,'CLEANED DATA'!$Z$2:$Z$1000,"&gt;0"),"")</f>
        <v>3.8</v>
      </c>
      <c r="K10" s="35" t="n">
        <f aca="false">IFERROR(COUNTIFS('CLEANED DATA'!$F$2:$F$1000,$A10,'CLEANED DATA'!$AD$2:$AD$1000,"&lt;=0")/COUNTIFS('CLEANED DATA'!$F$2:$F$1000,$A10,'CLEANED DATA'!$AD$2:$AD$1000,"&gt;-9999"),"")</f>
        <v>0.384615384615385</v>
      </c>
      <c r="L10" s="36" t="n">
        <f aca="false">IFERROR(AVERAGEIFS('CLEANED DATA'!$AF$2:$AF$1000,'CLEANED DATA'!$F$2:$F$1000,$A10),"")</f>
        <v>17</v>
      </c>
      <c r="M10" s="36" t="n">
        <f aca="false">IFERROR(AVERAGEIFS('CLEANED DATA'!$AJ$2:$AJ$1000,'CLEANED DATA'!$F$2:$F$1000,$A10),"")</f>
        <v>28.6153846153846</v>
      </c>
      <c r="N10" s="34" t="n">
        <f aca="false">COUNTIFS('CLEANED DATA'!$F$2:$F$1000,$A10,'CLEANED DATA'!$AL$2:$AL$1000,1)</f>
        <v>1</v>
      </c>
      <c r="O10" s="37" t="n">
        <f aca="false">SUMIFS('CLEANED DATA'!$H$2:$H$1000,'CLEANED DATA'!$F$2:$F$1000,$A10,'CLEANED DATA'!$N$2:$N$1000,"&lt;&gt;Cancelled")</f>
        <v>11917000</v>
      </c>
    </row>
    <row r="11" customFormat="false" ht="15" hidden="false" customHeight="false" outlineLevel="0" collapsed="false">
      <c r="A11" s="33" t="s">
        <v>121</v>
      </c>
      <c r="B11" s="34" t="n">
        <f aca="false">COUNTIFS('CLEANED DATA'!$F$2:$F$1000,$A11)</f>
        <v>26</v>
      </c>
      <c r="C11" s="34" t="n">
        <f aca="false">COUNTIFS('CLEANED DATA'!$F$2:$F$1000,$A11,'CLEANED DATA'!$N$2:$N$1000,"Completed")</f>
        <v>13</v>
      </c>
      <c r="D11" s="34" t="n">
        <f aca="false">COUNTIFS('CLEANED DATA'!$F$2:$F$1000,$A11,'CLEANED DATA'!$N$2:$N$1000,"Pending")</f>
        <v>11</v>
      </c>
      <c r="E11" s="34" t="n">
        <f aca="false">COUNTIFS('CLEANED DATA'!$F$2:$F$1000,$A11,'CLEANED DATA'!$N$2:$N$1000,"Cancelled")</f>
        <v>2</v>
      </c>
      <c r="F11" s="35" t="n">
        <f aca="false">IFERROR(COUNTIFS('CLEANED DATA'!$F$2:$F$1000,$A11,'CLEANED DATA'!$N$2:$N$1000,"Completed")/(COUNTIFS('CLEANED DATA'!$F$2:$F$1000,$A11)-COUNTIFS('CLEANED DATA'!$F$2:$F$1000,$A11,'CLEANED DATA'!$N$2:$N$1000,"Cancelled")),"")</f>
        <v>0.541666666666667</v>
      </c>
      <c r="G11" s="34" t="n">
        <f aca="false">COUNTIFS('CLEANED DATA'!$F$2:$F$1000,$A11,'CLEANED DATA'!$Z$2:$Z$1000,"&gt;-9999")</f>
        <v>14</v>
      </c>
      <c r="H11" s="35" t="n">
        <f aca="false">IFERROR(COUNTIFS('CLEANED DATA'!$F$2:$F$1000,$A11,'CLEANED DATA'!$Z$2:$Z$1000,"&lt;=0")/COUNTIFS('CLEANED DATA'!$F$2:$F$1000,$A11,'CLEANED DATA'!$Z$2:$Z$1000,"&gt;-9999"),"")</f>
        <v>0.428571428571429</v>
      </c>
      <c r="I11" s="34" t="n">
        <f aca="false">COUNTIFS('CLEANED DATA'!$F$2:$F$1000,$A11,'CLEANED DATA'!$Z$2:$Z$1000,"&gt;0")</f>
        <v>8</v>
      </c>
      <c r="J11" s="36" t="n">
        <f aca="false">IFERROR(AVERAGEIFS('CLEANED DATA'!$Z$2:$Z$1000,'CLEANED DATA'!$F$2:$F$1000,$A11,'CLEANED DATA'!$Z$2:$Z$1000,"&gt;0"),"")</f>
        <v>13</v>
      </c>
      <c r="K11" s="35" t="n">
        <f aca="false">IFERROR(COUNTIFS('CLEANED DATA'!$F$2:$F$1000,$A11,'CLEANED DATA'!$AD$2:$AD$1000,"&lt;=0")/COUNTIFS('CLEANED DATA'!$F$2:$F$1000,$A11,'CLEANED DATA'!$AD$2:$AD$1000,"&gt;-9999"),"")</f>
        <v>0.416666666666667</v>
      </c>
      <c r="L11" s="36" t="n">
        <f aca="false">IFERROR(AVERAGEIFS('CLEANED DATA'!$AF$2:$AF$1000,'CLEANED DATA'!$F$2:$F$1000,$A11),"")</f>
        <v>32.875</v>
      </c>
      <c r="M11" s="36" t="n">
        <f aca="false">IFERROR(AVERAGEIFS('CLEANED DATA'!$AJ$2:$AJ$1000,'CLEANED DATA'!$F$2:$F$1000,$A11),"")</f>
        <v>40.9166666666667</v>
      </c>
      <c r="N11" s="34" t="n">
        <f aca="false">COUNTIFS('CLEANED DATA'!$F$2:$F$1000,$A11,'CLEANED DATA'!$AL$2:$AL$1000,1)</f>
        <v>4</v>
      </c>
      <c r="O11" s="37" t="n">
        <f aca="false">SUMIFS('CLEANED DATA'!$H$2:$H$1000,'CLEANED DATA'!$F$2:$F$1000,$A11,'CLEANED DATA'!$N$2:$N$1000,"&lt;&gt;Cancelled")</f>
        <v>29123000</v>
      </c>
    </row>
    <row r="12" customFormat="false" ht="15" hidden="false" customHeight="false" outlineLevel="0" collapsed="false">
      <c r="A12" s="38" t="s">
        <v>996</v>
      </c>
      <c r="B12" s="39" t="n">
        <f aca="false">COUNTA('CLEANED DATA'!$A$2:$A$1000)</f>
        <v>160</v>
      </c>
      <c r="C12" s="39" t="n">
        <f aca="false">COUNTIFS('CLEANED DATA'!$N$2:$N$1000,"Completed")</f>
        <v>121</v>
      </c>
      <c r="D12" s="39" t="n">
        <f aca="false">COUNTIFS('CLEANED DATA'!$N$2:$N$1000,"Pending")</f>
        <v>30</v>
      </c>
      <c r="E12" s="39" t="n">
        <f aca="false">COUNTIFS('CLEANED DATA'!$N$2:$N$1000,"Cancelled")</f>
        <v>9</v>
      </c>
      <c r="F12" s="40" t="n">
        <f aca="false">IFERROR(COUNTIFS('CLEANED DATA'!$N$2:$N$1000,"Completed")/(COUNTA('CLEANED DATA'!$A$2:$A$1000)-COUNTIFS('CLEANED DATA'!$N$2:$N$1000,"Cancelled")),"")</f>
        <v>0.801324503311258</v>
      </c>
      <c r="G12" s="39" t="n">
        <f aca="false">COUNTIFS('CLEANED DATA'!$Z$2:$Z$1000,"&gt;-9999")</f>
        <v>134</v>
      </c>
      <c r="H12" s="40" t="n">
        <f aca="false">IFERROR(COUNTIFS('CLEANED DATA'!$Z$2:$Z$1000,"&lt;=0")/COUNTIFS('CLEANED DATA'!$Z$2:$Z$1000,"&gt;-9999"),"")</f>
        <v>0.723880597014925</v>
      </c>
      <c r="I12" s="39" t="n">
        <f aca="false">COUNTIFS('CLEANED DATA'!$Z$2:$Z$1000,"&gt;0")</f>
        <v>37</v>
      </c>
      <c r="J12" s="41" t="n">
        <f aca="false">IFERROR(AVERAGEIFS('CLEANED DATA'!$Z$2:$Z$1000,'CLEANED DATA'!$Z$2:$Z$1000,"&gt;0"),"")</f>
        <v>6.7027027027027</v>
      </c>
      <c r="K12" s="40" t="n">
        <f aca="false">IFERROR(COUNTIFS('CLEANED DATA'!$AD$2:$AD$1000,"&lt;=0")/COUNTIFS('CLEANED DATA'!$AD$2:$AD$1000,"&gt;-9999"),"")</f>
        <v>0.601694915254237</v>
      </c>
      <c r="L12" s="41" t="n">
        <f aca="false">IFERROR(AVERAGE('CLEANED DATA'!$AF$2:$AF$1000),"")</f>
        <v>13.1691176470588</v>
      </c>
      <c r="M12" s="41" t="n">
        <f aca="false">IFERROR(AVERAGE('CLEANED DATA'!$AJ$2:$AJ$1000),"")</f>
        <v>22.3898305084746</v>
      </c>
      <c r="N12" s="39" t="n">
        <f aca="false">COUNTIFS('CLEANED DATA'!$AL$2:$AL$1000,1)</f>
        <v>9</v>
      </c>
      <c r="O12" s="42" t="n">
        <f aca="false">SUMIFS('CLEANED DATA'!$H$2:$H$1000,'CLEANED DATA'!$N$2:$N$1000,"&lt;&gt;Cancelled")</f>
        <v>112001000</v>
      </c>
    </row>
    <row r="14" customFormat="false" ht="15" hidden="false" customHeight="false" outlineLevel="0" collapsed="false">
      <c r="A14" s="6" t="s">
        <v>997</v>
      </c>
    </row>
    <row r="15" customFormat="false" ht="35.05" hidden="false" customHeight="false" outlineLevel="0" collapsed="false">
      <c r="A15" s="11" t="s">
        <v>998</v>
      </c>
      <c r="B15" s="11" t="s">
        <v>988</v>
      </c>
      <c r="C15" s="11" t="s">
        <v>75</v>
      </c>
      <c r="D15" s="11" t="s">
        <v>328</v>
      </c>
      <c r="E15" s="11" t="s">
        <v>188</v>
      </c>
      <c r="F15" s="11" t="s">
        <v>989</v>
      </c>
      <c r="G15" s="11" t="s">
        <v>848</v>
      </c>
      <c r="H15" s="11" t="s">
        <v>990</v>
      </c>
      <c r="I15" s="11" t="s">
        <v>980</v>
      </c>
      <c r="J15" s="11" t="s">
        <v>991</v>
      </c>
      <c r="K15" s="11" t="s">
        <v>992</v>
      </c>
      <c r="L15" s="11" t="s">
        <v>993</v>
      </c>
      <c r="M15" s="11" t="s">
        <v>994</v>
      </c>
      <c r="N15" s="11" t="s">
        <v>35</v>
      </c>
      <c r="O15" s="11" t="s">
        <v>995</v>
      </c>
    </row>
    <row r="16" customFormat="false" ht="15" hidden="false" customHeight="false" outlineLevel="0" collapsed="false">
      <c r="A16" s="43" t="n">
        <v>46023</v>
      </c>
      <c r="B16" s="34" t="n">
        <f aca="false">COUNTIFS('CLEANED DATA'!$W$2:$W$1000,$A16)</f>
        <v>13</v>
      </c>
      <c r="C16" s="34" t="n">
        <f aca="false">COUNTIFS('CLEANED DATA'!$W$2:$W$1000,$A16,'CLEANED DATA'!$N$2:$N$1000,"Completed")</f>
        <v>13</v>
      </c>
      <c r="D16" s="34" t="n">
        <f aca="false">COUNTIFS('CLEANED DATA'!$W$2:$W$1000,$A16,'CLEANED DATA'!$N$2:$N$1000,"Pending")</f>
        <v>0</v>
      </c>
      <c r="E16" s="34" t="n">
        <f aca="false">COUNTIFS('CLEANED DATA'!$W$2:$W$1000,$A16,'CLEANED DATA'!$N$2:$N$1000,"Cancelled")</f>
        <v>0</v>
      </c>
      <c r="F16" s="35" t="n">
        <f aca="false">IFERROR(COUNTIFS('CLEANED DATA'!$W$2:$W$1000,$A16,'CLEANED DATA'!$N$2:$N$1000,"Completed")/(COUNTIFS('CLEANED DATA'!$W$2:$W$1000,$A16)-COUNTIFS('CLEANED DATA'!$W$2:$W$1000,$A16,'CLEANED DATA'!$N$2:$N$1000,"Cancelled")),"")</f>
        <v>1</v>
      </c>
      <c r="G16" s="34" t="n">
        <f aca="false">COUNTIFS('CLEANED DATA'!$W$2:$W$1000,$A16,'CLEANED DATA'!$Z$2:$Z$1000,"&gt;-9999")</f>
        <v>12</v>
      </c>
      <c r="H16" s="35" t="n">
        <f aca="false">IFERROR(COUNTIFS('CLEANED DATA'!$W$2:$W$1000,$A16,'CLEANED DATA'!$Z$2:$Z$1000,"&lt;=0")/COUNTIFS('CLEANED DATA'!$W$2:$W$1000,$A16,'CLEANED DATA'!$Z$2:$Z$1000,"&gt;-9999"),"")</f>
        <v>0.5</v>
      </c>
      <c r="I16" s="34" t="n">
        <f aca="false">COUNTIFS('CLEANED DATA'!$W$2:$W$1000,$A16,'CLEANED DATA'!$Z$2:$Z$1000,"&gt;0")</f>
        <v>6</v>
      </c>
      <c r="J16" s="36" t="n">
        <f aca="false">IFERROR(AVERAGEIFS('CLEANED DATA'!$Z$2:$Z$1000,'CLEANED DATA'!$W$2:$W$1000,$A16,'CLEANED DATA'!$Z$2:$Z$1000,"&gt;0"),"")</f>
        <v>6.66666666666667</v>
      </c>
      <c r="K16" s="35" t="n">
        <f aca="false">IFERROR(COUNTIFS('CLEANED DATA'!$W$2:$W$1000,$A16,'CLEANED DATA'!$AD$2:$AD$1000,"&lt;=0")/COUNTIFS('CLEANED DATA'!$W$2:$W$1000,$A16,'CLEANED DATA'!$AD$2:$AD$1000,"&gt;-9999"),"")</f>
        <v>0.416666666666667</v>
      </c>
      <c r="L16" s="36" t="n">
        <f aca="false">IFERROR(AVERAGEIFS('CLEANED DATA'!$AF$2:$AF$1000,'CLEANED DATA'!$W$2:$W$1000,$A16),"")</f>
        <v>17</v>
      </c>
      <c r="M16" s="36" t="n">
        <f aca="false">IFERROR(AVERAGEIFS('CLEANED DATA'!$AJ$2:$AJ$1000,'CLEANED DATA'!$W$2:$W$1000,$A16),"")</f>
        <v>26.3333333333333</v>
      </c>
      <c r="N16" s="34" t="n">
        <f aca="false">COUNTIFS('CLEANED DATA'!$W$2:$W$1000,$A16,'CLEANED DATA'!$AL$2:$AL$1000,1)</f>
        <v>0</v>
      </c>
      <c r="O16" s="37" t="n">
        <f aca="false">SUMIFS('CLEANED DATA'!$H$2:$H$1000,'CLEANED DATA'!$W$2:$W$1000,$A16,'CLEANED DATA'!$N$2:$N$1000,"&lt;&gt;Cancelled")</f>
        <v>13956000</v>
      </c>
    </row>
    <row r="17" customFormat="false" ht="15" hidden="false" customHeight="false" outlineLevel="0" collapsed="false">
      <c r="A17" s="43" t="n">
        <v>46054</v>
      </c>
      <c r="B17" s="34" t="n">
        <f aca="false">COUNTIFS('CLEANED DATA'!$W$2:$W$1000,$A17)</f>
        <v>24</v>
      </c>
      <c r="C17" s="34" t="n">
        <f aca="false">COUNTIFS('CLEANED DATA'!$W$2:$W$1000,$A17,'CLEANED DATA'!$N$2:$N$1000,"Completed")</f>
        <v>21</v>
      </c>
      <c r="D17" s="34" t="n">
        <f aca="false">COUNTIFS('CLEANED DATA'!$W$2:$W$1000,$A17,'CLEANED DATA'!$N$2:$N$1000,"Pending")</f>
        <v>0</v>
      </c>
      <c r="E17" s="34" t="n">
        <f aca="false">COUNTIFS('CLEANED DATA'!$W$2:$W$1000,$A17,'CLEANED DATA'!$N$2:$N$1000,"Cancelled")</f>
        <v>3</v>
      </c>
      <c r="F17" s="35" t="n">
        <f aca="false">IFERROR(COUNTIFS('CLEANED DATA'!$W$2:$W$1000,$A17,'CLEANED DATA'!$N$2:$N$1000,"Completed")/(COUNTIFS('CLEANED DATA'!$W$2:$W$1000,$A17)-COUNTIFS('CLEANED DATA'!$W$2:$W$1000,$A17,'CLEANED DATA'!$N$2:$N$1000,"Cancelled")),"")</f>
        <v>1</v>
      </c>
      <c r="G17" s="34" t="n">
        <f aca="false">COUNTIFS('CLEANED DATA'!$W$2:$W$1000,$A17,'CLEANED DATA'!$Z$2:$Z$1000,"&gt;-9999")</f>
        <v>21</v>
      </c>
      <c r="H17" s="35" t="n">
        <f aca="false">IFERROR(COUNTIFS('CLEANED DATA'!$W$2:$W$1000,$A17,'CLEANED DATA'!$Z$2:$Z$1000,"&lt;=0")/COUNTIFS('CLEANED DATA'!$W$2:$W$1000,$A17,'CLEANED DATA'!$Z$2:$Z$1000,"&gt;-9999"),"")</f>
        <v>0.666666666666667</v>
      </c>
      <c r="I17" s="34" t="n">
        <f aca="false">COUNTIFS('CLEANED DATA'!$W$2:$W$1000,$A17,'CLEANED DATA'!$Z$2:$Z$1000,"&gt;0")</f>
        <v>7</v>
      </c>
      <c r="J17" s="36" t="n">
        <f aca="false">IFERROR(AVERAGEIFS('CLEANED DATA'!$Z$2:$Z$1000,'CLEANED DATA'!$W$2:$W$1000,$A17,'CLEANED DATA'!$Z$2:$Z$1000,"&gt;0"),"")</f>
        <v>5.14285714285714</v>
      </c>
      <c r="K17" s="35" t="n">
        <f aca="false">IFERROR(COUNTIFS('CLEANED DATA'!$W$2:$W$1000,$A17,'CLEANED DATA'!$AD$2:$AD$1000,"&lt;=0")/COUNTIFS('CLEANED DATA'!$W$2:$W$1000,$A17,'CLEANED DATA'!$AD$2:$AD$1000,"&gt;-9999"),"")</f>
        <v>0.45</v>
      </c>
      <c r="L17" s="36" t="n">
        <f aca="false">IFERROR(AVERAGEIFS('CLEANED DATA'!$AF$2:$AF$1000,'CLEANED DATA'!$W$2:$W$1000,$A17),"")</f>
        <v>13.952380952381</v>
      </c>
      <c r="M17" s="36" t="n">
        <f aca="false">IFERROR(AVERAGEIFS('CLEANED DATA'!$AJ$2:$AJ$1000,'CLEANED DATA'!$W$2:$W$1000,$A17),"")</f>
        <v>22.15</v>
      </c>
      <c r="N17" s="34" t="n">
        <f aca="false">COUNTIFS('CLEANED DATA'!$W$2:$W$1000,$A17,'CLEANED DATA'!$AL$2:$AL$1000,1)</f>
        <v>0</v>
      </c>
      <c r="O17" s="37" t="n">
        <f aca="false">SUMIFS('CLEANED DATA'!$H$2:$H$1000,'CLEANED DATA'!$W$2:$W$1000,$A17,'CLEANED DATA'!$N$2:$N$1000,"&lt;&gt;Cancelled")</f>
        <v>18966000</v>
      </c>
    </row>
    <row r="18" customFormat="false" ht="15" hidden="false" customHeight="false" outlineLevel="0" collapsed="false">
      <c r="A18" s="43" t="n">
        <v>46082</v>
      </c>
      <c r="B18" s="34" t="n">
        <f aca="false">COUNTIFS('CLEANED DATA'!$W$2:$W$1000,$A18)</f>
        <v>25</v>
      </c>
      <c r="C18" s="34" t="n">
        <f aca="false">COUNTIFS('CLEANED DATA'!$W$2:$W$1000,$A18,'CLEANED DATA'!$N$2:$N$1000,"Completed")</f>
        <v>21</v>
      </c>
      <c r="D18" s="34" t="n">
        <f aca="false">COUNTIFS('CLEANED DATA'!$W$2:$W$1000,$A18,'CLEANED DATA'!$N$2:$N$1000,"Pending")</f>
        <v>2</v>
      </c>
      <c r="E18" s="34" t="n">
        <f aca="false">COUNTIFS('CLEANED DATA'!$W$2:$W$1000,$A18,'CLEANED DATA'!$N$2:$N$1000,"Cancelled")</f>
        <v>2</v>
      </c>
      <c r="F18" s="35" t="n">
        <f aca="false">IFERROR(COUNTIFS('CLEANED DATA'!$W$2:$W$1000,$A18,'CLEANED DATA'!$N$2:$N$1000,"Completed")/(COUNTIFS('CLEANED DATA'!$W$2:$W$1000,$A18)-COUNTIFS('CLEANED DATA'!$W$2:$W$1000,$A18,'CLEANED DATA'!$N$2:$N$1000,"Cancelled")),"")</f>
        <v>0.91304347826087</v>
      </c>
      <c r="G18" s="34" t="n">
        <f aca="false">COUNTIFS('CLEANED DATA'!$W$2:$W$1000,$A18,'CLEANED DATA'!$Z$2:$Z$1000,"&gt;-9999")</f>
        <v>23</v>
      </c>
      <c r="H18" s="35" t="n">
        <f aca="false">IFERROR(COUNTIFS('CLEANED DATA'!$W$2:$W$1000,$A18,'CLEANED DATA'!$Z$2:$Z$1000,"&lt;=0")/COUNTIFS('CLEANED DATA'!$W$2:$W$1000,$A18,'CLEANED DATA'!$Z$2:$Z$1000,"&gt;-9999"),"")</f>
        <v>0.869565217391304</v>
      </c>
      <c r="I18" s="34" t="n">
        <f aca="false">COUNTIFS('CLEANED DATA'!$W$2:$W$1000,$A18,'CLEANED DATA'!$Z$2:$Z$1000,"&gt;0")</f>
        <v>3</v>
      </c>
      <c r="J18" s="36" t="n">
        <f aca="false">IFERROR(AVERAGEIFS('CLEANED DATA'!$Z$2:$Z$1000,'CLEANED DATA'!$W$2:$W$1000,$A18,'CLEANED DATA'!$Z$2:$Z$1000,"&gt;0"),"")</f>
        <v>23.6666666666667</v>
      </c>
      <c r="K18" s="35" t="n">
        <f aca="false">IFERROR(COUNTIFS('CLEANED DATA'!$W$2:$W$1000,$A18,'CLEANED DATA'!$AD$2:$AD$1000,"&lt;=0")/COUNTIFS('CLEANED DATA'!$W$2:$W$1000,$A18,'CLEANED DATA'!$AD$2:$AD$1000,"&gt;-9999"),"")</f>
        <v>0.80952380952381</v>
      </c>
      <c r="L18" s="36" t="n">
        <f aca="false">IFERROR(AVERAGEIFS('CLEANED DATA'!$AF$2:$AF$1000,'CLEANED DATA'!$W$2:$W$1000,$A18),"")</f>
        <v>13</v>
      </c>
      <c r="M18" s="36" t="n">
        <f aca="false">IFERROR(AVERAGEIFS('CLEANED DATA'!$AJ$2:$AJ$1000,'CLEANED DATA'!$W$2:$W$1000,$A18),"")</f>
        <v>25.2857142857143</v>
      </c>
      <c r="N18" s="34" t="n">
        <f aca="false">COUNTIFS('CLEANED DATA'!$W$2:$W$1000,$A18,'CLEANED DATA'!$AL$2:$AL$1000,1)</f>
        <v>2</v>
      </c>
      <c r="O18" s="37" t="n">
        <f aca="false">SUMIFS('CLEANED DATA'!$H$2:$H$1000,'CLEANED DATA'!$W$2:$W$1000,$A18,'CLEANED DATA'!$N$2:$N$1000,"&lt;&gt;Cancelled")</f>
        <v>12893000</v>
      </c>
    </row>
    <row r="19" customFormat="false" ht="15" hidden="false" customHeight="false" outlineLevel="0" collapsed="false">
      <c r="A19" s="43" t="n">
        <v>46113</v>
      </c>
      <c r="B19" s="34" t="n">
        <f aca="false">COUNTIFS('CLEANED DATA'!$W$2:$W$1000,$A19)</f>
        <v>26</v>
      </c>
      <c r="C19" s="34" t="n">
        <f aca="false">COUNTIFS('CLEANED DATA'!$W$2:$W$1000,$A19,'CLEANED DATA'!$N$2:$N$1000,"Completed")</f>
        <v>22</v>
      </c>
      <c r="D19" s="34" t="n">
        <f aca="false">COUNTIFS('CLEANED DATA'!$W$2:$W$1000,$A19,'CLEANED DATA'!$N$2:$N$1000,"Pending")</f>
        <v>3</v>
      </c>
      <c r="E19" s="34" t="n">
        <f aca="false">COUNTIFS('CLEANED DATA'!$W$2:$W$1000,$A19,'CLEANED DATA'!$N$2:$N$1000,"Cancelled")</f>
        <v>1</v>
      </c>
      <c r="F19" s="35" t="n">
        <f aca="false">IFERROR(COUNTIFS('CLEANED DATA'!$W$2:$W$1000,$A19,'CLEANED DATA'!$N$2:$N$1000,"Completed")/(COUNTIFS('CLEANED DATA'!$W$2:$W$1000,$A19)-COUNTIFS('CLEANED DATA'!$W$2:$W$1000,$A19,'CLEANED DATA'!$N$2:$N$1000,"Cancelled")),"")</f>
        <v>0.88</v>
      </c>
      <c r="G19" s="34" t="n">
        <f aca="false">COUNTIFS('CLEANED DATA'!$W$2:$W$1000,$A19,'CLEANED DATA'!$Z$2:$Z$1000,"&gt;-9999")</f>
        <v>25</v>
      </c>
      <c r="H19" s="35" t="n">
        <f aca="false">IFERROR(COUNTIFS('CLEANED DATA'!$W$2:$W$1000,$A19,'CLEANED DATA'!$Z$2:$Z$1000,"&lt;=0")/COUNTIFS('CLEANED DATA'!$W$2:$W$1000,$A19,'CLEANED DATA'!$Z$2:$Z$1000,"&gt;-9999"),"")</f>
        <v>0.6</v>
      </c>
      <c r="I19" s="34" t="n">
        <f aca="false">COUNTIFS('CLEANED DATA'!$W$2:$W$1000,$A19,'CLEANED DATA'!$Z$2:$Z$1000,"&gt;0")</f>
        <v>10</v>
      </c>
      <c r="J19" s="36" t="n">
        <f aca="false">IFERROR(AVERAGEIFS('CLEANED DATA'!$Z$2:$Z$1000,'CLEANED DATA'!$W$2:$W$1000,$A19,'CLEANED DATA'!$Z$2:$Z$1000,"&gt;0"),"")</f>
        <v>4.3</v>
      </c>
      <c r="K19" s="35" t="n">
        <f aca="false">IFERROR(COUNTIFS('CLEANED DATA'!$W$2:$W$1000,$A19,'CLEANED DATA'!$AD$2:$AD$1000,"&lt;=0")/COUNTIFS('CLEANED DATA'!$W$2:$W$1000,$A19,'CLEANED DATA'!$AD$2:$AD$1000,"&gt;-9999"),"")</f>
        <v>0.590909090909091</v>
      </c>
      <c r="L19" s="36" t="n">
        <f aca="false">IFERROR(AVERAGEIFS('CLEANED DATA'!$AF$2:$AF$1000,'CLEANED DATA'!$W$2:$W$1000,$A19),"")</f>
        <v>13.5</v>
      </c>
      <c r="M19" s="36" t="n">
        <f aca="false">IFERROR(AVERAGEIFS('CLEANED DATA'!$AJ$2:$AJ$1000,'CLEANED DATA'!$W$2:$W$1000,$A19),"")</f>
        <v>23.5</v>
      </c>
      <c r="N19" s="34" t="n">
        <f aca="false">COUNTIFS('CLEANED DATA'!$W$2:$W$1000,$A19,'CLEANED DATA'!$AL$2:$AL$1000,1)</f>
        <v>3</v>
      </c>
      <c r="O19" s="37" t="n">
        <f aca="false">SUMIFS('CLEANED DATA'!$H$2:$H$1000,'CLEANED DATA'!$W$2:$W$1000,$A19,'CLEANED DATA'!$N$2:$N$1000,"&lt;&gt;Cancelled")</f>
        <v>18165000</v>
      </c>
    </row>
    <row r="20" customFormat="false" ht="15" hidden="false" customHeight="false" outlineLevel="0" collapsed="false">
      <c r="A20" s="43" t="n">
        <v>46143</v>
      </c>
      <c r="B20" s="34" t="n">
        <f aca="false">COUNTIFS('CLEANED DATA'!$W$2:$W$1000,$A20)</f>
        <v>40</v>
      </c>
      <c r="C20" s="34" t="n">
        <f aca="false">COUNTIFS('CLEANED DATA'!$W$2:$W$1000,$A20,'CLEANED DATA'!$N$2:$N$1000,"Completed")</f>
        <v>34</v>
      </c>
      <c r="D20" s="34" t="n">
        <f aca="false">COUNTIFS('CLEANED DATA'!$W$2:$W$1000,$A20,'CLEANED DATA'!$N$2:$N$1000,"Pending")</f>
        <v>4</v>
      </c>
      <c r="E20" s="34" t="n">
        <f aca="false">COUNTIFS('CLEANED DATA'!$W$2:$W$1000,$A20,'CLEANED DATA'!$N$2:$N$1000,"Cancelled")</f>
        <v>2</v>
      </c>
      <c r="F20" s="35" t="n">
        <f aca="false">IFERROR(COUNTIFS('CLEANED DATA'!$W$2:$W$1000,$A20,'CLEANED DATA'!$N$2:$N$1000,"Completed")/(COUNTIFS('CLEANED DATA'!$W$2:$W$1000,$A20)-COUNTIFS('CLEANED DATA'!$W$2:$W$1000,$A20,'CLEANED DATA'!$N$2:$N$1000,"Cancelled")),"")</f>
        <v>0.894736842105263</v>
      </c>
      <c r="G20" s="34" t="n">
        <f aca="false">COUNTIFS('CLEANED DATA'!$W$2:$W$1000,$A20,'CLEANED DATA'!$Z$2:$Z$1000,"&gt;-9999")</f>
        <v>36</v>
      </c>
      <c r="H20" s="35" t="n">
        <f aca="false">IFERROR(COUNTIFS('CLEANED DATA'!$W$2:$W$1000,$A20,'CLEANED DATA'!$Z$2:$Z$1000,"&lt;=0")/COUNTIFS('CLEANED DATA'!$W$2:$W$1000,$A20,'CLEANED DATA'!$Z$2:$Z$1000,"&gt;-9999"),"")</f>
        <v>0.777777777777778</v>
      </c>
      <c r="I20" s="34" t="n">
        <f aca="false">COUNTIFS('CLEANED DATA'!$W$2:$W$1000,$A20,'CLEANED DATA'!$Z$2:$Z$1000,"&gt;0")</f>
        <v>8</v>
      </c>
      <c r="J20" s="36" t="n">
        <f aca="false">IFERROR(AVERAGEIFS('CLEANED DATA'!$Z$2:$Z$1000,'CLEANED DATA'!$W$2:$W$1000,$A20,'CLEANED DATA'!$Z$2:$Z$1000,"&gt;0"),"")</f>
        <v>6.875</v>
      </c>
      <c r="K20" s="35" t="n">
        <f aca="false">IFERROR(COUNTIFS('CLEANED DATA'!$W$2:$W$1000,$A20,'CLEANED DATA'!$AD$2:$AD$1000,"&lt;=0")/COUNTIFS('CLEANED DATA'!$W$2:$W$1000,$A20,'CLEANED DATA'!$AD$2:$AD$1000,"&gt;-9999"),"")</f>
        <v>0.575757575757576</v>
      </c>
      <c r="L20" s="36" t="n">
        <f aca="false">IFERROR(AVERAGEIFS('CLEANED DATA'!$AF$2:$AF$1000,'CLEANED DATA'!$W$2:$W$1000,$A20),"")</f>
        <v>14.0810810810811</v>
      </c>
      <c r="M20" s="36" t="n">
        <f aca="false">IFERROR(AVERAGEIFS('CLEANED DATA'!$AJ$2:$AJ$1000,'CLEANED DATA'!$W$2:$W$1000,$A20),"")</f>
        <v>21.8787878787879</v>
      </c>
      <c r="N20" s="34" t="n">
        <f aca="false">COUNTIFS('CLEANED DATA'!$W$2:$W$1000,$A20,'CLEANED DATA'!$AL$2:$AL$1000,1)</f>
        <v>4</v>
      </c>
      <c r="O20" s="37" t="n">
        <f aca="false">SUMIFS('CLEANED DATA'!$H$2:$H$1000,'CLEANED DATA'!$W$2:$W$1000,$A20,'CLEANED DATA'!$N$2:$N$1000,"&lt;&gt;Cancelled")</f>
        <v>26617000</v>
      </c>
    </row>
    <row r="21" customFormat="false" ht="15" hidden="false" customHeight="false" outlineLevel="0" collapsed="false">
      <c r="A21" s="43" t="n">
        <v>46174</v>
      </c>
      <c r="B21" s="34" t="n">
        <f aca="false">COUNTIFS('CLEANED DATA'!$W$2:$W$1000,$A21)</f>
        <v>32</v>
      </c>
      <c r="C21" s="34" t="n">
        <f aca="false">COUNTIFS('CLEANED DATA'!$W$2:$W$1000,$A21,'CLEANED DATA'!$N$2:$N$1000,"Completed")</f>
        <v>10</v>
      </c>
      <c r="D21" s="34" t="n">
        <f aca="false">COUNTIFS('CLEANED DATA'!$W$2:$W$1000,$A21,'CLEANED DATA'!$N$2:$N$1000,"Pending")</f>
        <v>21</v>
      </c>
      <c r="E21" s="34" t="n">
        <f aca="false">COUNTIFS('CLEANED DATA'!$W$2:$W$1000,$A21,'CLEANED DATA'!$N$2:$N$1000,"Cancelled")</f>
        <v>1</v>
      </c>
      <c r="F21" s="35" t="n">
        <f aca="false">IFERROR(COUNTIFS('CLEANED DATA'!$W$2:$W$1000,$A21,'CLEANED DATA'!$N$2:$N$1000,"Completed")/(COUNTIFS('CLEANED DATA'!$W$2:$W$1000,$A21)-COUNTIFS('CLEANED DATA'!$W$2:$W$1000,$A21,'CLEANED DATA'!$N$2:$N$1000,"Cancelled")),"")</f>
        <v>0.32258064516129</v>
      </c>
      <c r="G21" s="34" t="n">
        <f aca="false">COUNTIFS('CLEANED DATA'!$W$2:$W$1000,$A21,'CLEANED DATA'!$Z$2:$Z$1000,"&gt;-9999")</f>
        <v>17</v>
      </c>
      <c r="H21" s="35" t="n">
        <f aca="false">IFERROR(COUNTIFS('CLEANED DATA'!$W$2:$W$1000,$A21,'CLEANED DATA'!$Z$2:$Z$1000,"&lt;=0")/COUNTIFS('CLEANED DATA'!$W$2:$W$1000,$A21,'CLEANED DATA'!$Z$2:$Z$1000,"&gt;-9999"),"")</f>
        <v>0.823529411764706</v>
      </c>
      <c r="I21" s="34" t="n">
        <f aca="false">COUNTIFS('CLEANED DATA'!$W$2:$W$1000,$A21,'CLEANED DATA'!$Z$2:$Z$1000,"&gt;0")</f>
        <v>3</v>
      </c>
      <c r="J21" s="36" t="n">
        <f aca="false">IFERROR(AVERAGEIFS('CLEANED DATA'!$Z$2:$Z$1000,'CLEANED DATA'!$W$2:$W$1000,$A21,'CLEANED DATA'!$Z$2:$Z$1000,"&gt;0"),"")</f>
        <v>1</v>
      </c>
      <c r="K21" s="35" t="n">
        <f aca="false">IFERROR(COUNTIFS('CLEANED DATA'!$W$2:$W$1000,$A21,'CLEANED DATA'!$AD$2:$AD$1000,"&lt;=0")/COUNTIFS('CLEANED DATA'!$W$2:$W$1000,$A21,'CLEANED DATA'!$AD$2:$AD$1000,"&gt;-9999"),"")</f>
        <v>0.8</v>
      </c>
      <c r="L21" s="36" t="n">
        <f aca="false">IFERROR(AVERAGEIFS('CLEANED DATA'!$AF$2:$AF$1000,'CLEANED DATA'!$W$2:$W$1000,$A21),"")</f>
        <v>7.38888888888889</v>
      </c>
      <c r="M21" s="36" t="n">
        <f aca="false">IFERROR(AVERAGEIFS('CLEANED DATA'!$AJ$2:$AJ$1000,'CLEANED DATA'!$W$2:$W$1000,$A21),"")</f>
        <v>11.3</v>
      </c>
      <c r="N21" s="34" t="n">
        <f aca="false">COUNTIFS('CLEANED DATA'!$W$2:$W$1000,$A21,'CLEANED DATA'!$AL$2:$AL$1000,1)</f>
        <v>0</v>
      </c>
      <c r="O21" s="37" t="n">
        <f aca="false">SUMIFS('CLEANED DATA'!$H$2:$H$1000,'CLEANED DATA'!$W$2:$W$1000,$A21,'CLEANED DATA'!$N$2:$N$1000,"&lt;&gt;Cancelled")</f>
        <v>21404000</v>
      </c>
    </row>
    <row r="22" customFormat="false" ht="15" hidden="false" customHeight="false" outlineLevel="0" collapsed="false">
      <c r="A22" s="38" t="s">
        <v>996</v>
      </c>
      <c r="B22" s="39" t="n">
        <f aca="false">COUNTA('CLEANED DATA'!$A$2:$A$1000)</f>
        <v>160</v>
      </c>
      <c r="C22" s="39" t="n">
        <f aca="false">COUNTIFS('CLEANED DATA'!$N$2:$N$1000,"Completed")</f>
        <v>121</v>
      </c>
      <c r="D22" s="39" t="n">
        <f aca="false">COUNTIFS('CLEANED DATA'!$N$2:$N$1000,"Pending")</f>
        <v>30</v>
      </c>
      <c r="E22" s="39" t="n">
        <f aca="false">COUNTIFS('CLEANED DATA'!$N$2:$N$1000,"Cancelled")</f>
        <v>9</v>
      </c>
      <c r="F22" s="40" t="n">
        <f aca="false">IFERROR(COUNTIFS('CLEANED DATA'!$N$2:$N$1000,"Completed")/(COUNTA('CLEANED DATA'!$A$2:$A$1000)-COUNTIFS('CLEANED DATA'!$N$2:$N$1000,"Cancelled")),"")</f>
        <v>0.801324503311258</v>
      </c>
      <c r="G22" s="39" t="n">
        <f aca="false">COUNTIFS('CLEANED DATA'!$Z$2:$Z$1000,"&gt;-9999")</f>
        <v>134</v>
      </c>
      <c r="H22" s="40" t="n">
        <f aca="false">IFERROR(COUNTIFS('CLEANED DATA'!$Z$2:$Z$1000,"&lt;=0")/COUNTIFS('CLEANED DATA'!$Z$2:$Z$1000,"&gt;-9999"),"")</f>
        <v>0.723880597014925</v>
      </c>
      <c r="I22" s="39" t="n">
        <f aca="false">COUNTIFS('CLEANED DATA'!$Z$2:$Z$1000,"&gt;0")</f>
        <v>37</v>
      </c>
      <c r="J22" s="41" t="n">
        <f aca="false">IFERROR(AVERAGEIFS('CLEANED DATA'!$Z$2:$Z$1000,'CLEANED DATA'!$Z$2:$Z$1000,"&gt;0"),"")</f>
        <v>6.7027027027027</v>
      </c>
      <c r="K22" s="40" t="n">
        <f aca="false">IFERROR(COUNTIFS('CLEANED DATA'!$AD$2:$AD$1000,"&lt;=0")/COUNTIFS('CLEANED DATA'!$AD$2:$AD$1000,"&gt;-9999"),"")</f>
        <v>0.601694915254237</v>
      </c>
      <c r="L22" s="41" t="n">
        <f aca="false">IFERROR(AVERAGE('CLEANED DATA'!$AF$2:$AF$1000),"")</f>
        <v>13.1691176470588</v>
      </c>
      <c r="M22" s="41" t="n">
        <f aca="false">IFERROR(AVERAGE('CLEANED DATA'!$AJ$2:$AJ$1000),"")</f>
        <v>22.3898305084746</v>
      </c>
      <c r="N22" s="39" t="n">
        <f aca="false">COUNTIFS('CLEANED DATA'!$AL$2:$AL$1000,1)</f>
        <v>9</v>
      </c>
      <c r="O22" s="42" t="n">
        <f aca="false">SUMIFS('CLEANED DATA'!$H$2:$H$1000,'CLEANED DATA'!$N$2:$N$1000,"&lt;&gt;Cancelled")</f>
        <v>112001000</v>
      </c>
    </row>
    <row r="24" customFormat="false" ht="15" hidden="false" customHeight="false" outlineLevel="0" collapsed="false">
      <c r="A24" s="6" t="s">
        <v>999</v>
      </c>
    </row>
    <row r="25" customFormat="false" ht="35.05" hidden="false" customHeight="false" outlineLevel="0" collapsed="false">
      <c r="A25" s="11" t="s">
        <v>47</v>
      </c>
      <c r="B25" s="11" t="s">
        <v>988</v>
      </c>
      <c r="C25" s="11" t="s">
        <v>75</v>
      </c>
      <c r="D25" s="11" t="s">
        <v>328</v>
      </c>
      <c r="E25" s="11" t="s">
        <v>188</v>
      </c>
      <c r="F25" s="11" t="s">
        <v>989</v>
      </c>
      <c r="G25" s="11" t="s">
        <v>848</v>
      </c>
      <c r="H25" s="11" t="s">
        <v>990</v>
      </c>
      <c r="I25" s="11" t="s">
        <v>980</v>
      </c>
      <c r="J25" s="11" t="s">
        <v>991</v>
      </c>
      <c r="K25" s="11" t="s">
        <v>992</v>
      </c>
      <c r="L25" s="11" t="s">
        <v>993</v>
      </c>
      <c r="M25" s="11" t="s">
        <v>994</v>
      </c>
      <c r="N25" s="11" t="s">
        <v>35</v>
      </c>
      <c r="O25" s="11" t="s">
        <v>995</v>
      </c>
    </row>
    <row r="26" customFormat="false" ht="15" hidden="false" customHeight="false" outlineLevel="0" collapsed="false">
      <c r="A26" s="33" t="s">
        <v>149</v>
      </c>
      <c r="B26" s="34" t="n">
        <f aca="false">COUNTIFS('CLEANED DATA'!$D$2:$D$1000,$A26)</f>
        <v>44</v>
      </c>
      <c r="C26" s="34" t="n">
        <f aca="false">COUNTIFS('CLEANED DATA'!$D$2:$D$1000,$A26,'CLEANED DATA'!$N$2:$N$1000,"Completed")</f>
        <v>37</v>
      </c>
      <c r="D26" s="34" t="n">
        <f aca="false">COUNTIFS('CLEANED DATA'!$D$2:$D$1000,$A26,'CLEANED DATA'!$N$2:$N$1000,"Pending")</f>
        <v>5</v>
      </c>
      <c r="E26" s="34" t="n">
        <f aca="false">COUNTIFS('CLEANED DATA'!$D$2:$D$1000,$A26,'CLEANED DATA'!$N$2:$N$1000,"Cancelled")</f>
        <v>2</v>
      </c>
      <c r="F26" s="35" t="n">
        <f aca="false">IFERROR(COUNTIFS('CLEANED DATA'!$D$2:$D$1000,$A26,'CLEANED DATA'!$N$2:$N$1000,"Completed")/(COUNTIFS('CLEANED DATA'!$D$2:$D$1000,$A26)-COUNTIFS('CLEANED DATA'!$D$2:$D$1000,$A26,'CLEANED DATA'!$N$2:$N$1000,"Cancelled")),"")</f>
        <v>0.880952380952381</v>
      </c>
      <c r="G26" s="34" t="n">
        <f aca="false">COUNTIFS('CLEANED DATA'!$D$2:$D$1000,$A26,'CLEANED DATA'!$Z$2:$Z$1000,"&gt;-9999")</f>
        <v>40</v>
      </c>
      <c r="H26" s="35" t="n">
        <f aca="false">IFERROR(COUNTIFS('CLEANED DATA'!$D$2:$D$1000,$A26,'CLEANED DATA'!$Z$2:$Z$1000,"&lt;=0")/COUNTIFS('CLEANED DATA'!$D$2:$D$1000,$A26,'CLEANED DATA'!$Z$2:$Z$1000,"&gt;-9999"),"")</f>
        <v>0.875</v>
      </c>
      <c r="I26" s="34" t="n">
        <f aca="false">COUNTIFS('CLEANED DATA'!$D$2:$D$1000,$A26,'CLEANED DATA'!$Z$2:$Z$1000,"&gt;0")</f>
        <v>5</v>
      </c>
      <c r="J26" s="36" t="n">
        <f aca="false">IFERROR(AVERAGEIFS('CLEANED DATA'!$Z$2:$Z$1000,'CLEANED DATA'!$D$2:$D$1000,$A26,'CLEANED DATA'!$Z$2:$Z$1000,"&gt;0"),"")</f>
        <v>2.2</v>
      </c>
      <c r="K26" s="35" t="n">
        <f aca="false">IFERROR(COUNTIFS('CLEANED DATA'!$D$2:$D$1000,$A26,'CLEANED DATA'!$AD$2:$AD$1000,"&lt;=0")/COUNTIFS('CLEANED DATA'!$D$2:$D$1000,$A26,'CLEANED DATA'!$AD$2:$AD$1000,"&gt;-9999"),"")</f>
        <v>0.72972972972973</v>
      </c>
      <c r="L26" s="36" t="n">
        <f aca="false">IFERROR(AVERAGEIFS('CLEANED DATA'!$AF$2:$AF$1000,'CLEANED DATA'!$D$2:$D$1000,$A26),"")</f>
        <v>6.3</v>
      </c>
      <c r="M26" s="36" t="n">
        <f aca="false">IFERROR(AVERAGEIFS('CLEANED DATA'!$AJ$2:$AJ$1000,'CLEANED DATA'!$D$2:$D$1000,$A26),"")</f>
        <v>15.2162162162162</v>
      </c>
      <c r="N26" s="34" t="n">
        <f aca="false">COUNTIFS('CLEANED DATA'!$D$2:$D$1000,$A26,'CLEANED DATA'!$AL$2:$AL$1000,1)</f>
        <v>2</v>
      </c>
      <c r="O26" s="37" t="n">
        <f aca="false">SUMIFS('CLEANED DATA'!$H$2:$H$1000,'CLEANED DATA'!$D$2:$D$1000,$A26,'CLEANED DATA'!$N$2:$N$1000,"&lt;&gt;Cancelled")</f>
        <v>9937000</v>
      </c>
    </row>
    <row r="27" customFormat="false" ht="15" hidden="false" customHeight="false" outlineLevel="0" collapsed="false">
      <c r="A27" s="33" t="s">
        <v>90</v>
      </c>
      <c r="B27" s="34" t="n">
        <f aca="false">COUNTIFS('CLEANED DATA'!$D$2:$D$1000,$A27)</f>
        <v>80</v>
      </c>
      <c r="C27" s="34" t="n">
        <f aca="false">COUNTIFS('CLEANED DATA'!$D$2:$D$1000,$A27,'CLEANED DATA'!$N$2:$N$1000,"Completed")</f>
        <v>55</v>
      </c>
      <c r="D27" s="34" t="n">
        <f aca="false">COUNTIFS('CLEANED DATA'!$D$2:$D$1000,$A27,'CLEANED DATA'!$N$2:$N$1000,"Pending")</f>
        <v>20</v>
      </c>
      <c r="E27" s="34" t="n">
        <f aca="false">COUNTIFS('CLEANED DATA'!$D$2:$D$1000,$A27,'CLEANED DATA'!$N$2:$N$1000,"Cancelled")</f>
        <v>5</v>
      </c>
      <c r="F27" s="35" t="n">
        <f aca="false">IFERROR(COUNTIFS('CLEANED DATA'!$D$2:$D$1000,$A27,'CLEANED DATA'!$N$2:$N$1000,"Completed")/(COUNTIFS('CLEANED DATA'!$D$2:$D$1000,$A27)-COUNTIFS('CLEANED DATA'!$D$2:$D$1000,$A27,'CLEANED DATA'!$N$2:$N$1000,"Cancelled")),"")</f>
        <v>0.733333333333333</v>
      </c>
      <c r="G27" s="34" t="n">
        <f aca="false">COUNTIFS('CLEANED DATA'!$D$2:$D$1000,$A27,'CLEANED DATA'!$Z$2:$Z$1000,"&gt;-9999")</f>
        <v>63</v>
      </c>
      <c r="H27" s="35" t="n">
        <f aca="false">IFERROR(COUNTIFS('CLEANED DATA'!$D$2:$D$1000,$A27,'CLEANED DATA'!$Z$2:$Z$1000,"&lt;=0")/COUNTIFS('CLEANED DATA'!$D$2:$D$1000,$A27,'CLEANED DATA'!$Z$2:$Z$1000,"&gt;-9999"),"")</f>
        <v>0.650793650793651</v>
      </c>
      <c r="I27" s="34" t="n">
        <f aca="false">COUNTIFS('CLEANED DATA'!$D$2:$D$1000,$A27,'CLEANED DATA'!$Z$2:$Z$1000,"&gt;0")</f>
        <v>22</v>
      </c>
      <c r="J27" s="36" t="n">
        <f aca="false">IFERROR(AVERAGEIFS('CLEANED DATA'!$Z$2:$Z$1000,'CLEANED DATA'!$D$2:$D$1000,$A27,'CLEANED DATA'!$Z$2:$Z$1000,"&gt;0"),"")</f>
        <v>4.95454545454545</v>
      </c>
      <c r="K27" s="35" t="n">
        <f aca="false">IFERROR(COUNTIFS('CLEANED DATA'!$D$2:$D$1000,$A27,'CLEANED DATA'!$AD$2:$AD$1000,"&lt;=0")/COUNTIFS('CLEANED DATA'!$D$2:$D$1000,$A27,'CLEANED DATA'!$AD$2:$AD$1000,"&gt;-9999"),"")</f>
        <v>0.528301886792453</v>
      </c>
      <c r="L27" s="36" t="n">
        <f aca="false">IFERROR(AVERAGEIFS('CLEANED DATA'!$AF$2:$AF$1000,'CLEANED DATA'!$D$2:$D$1000,$A27),"")</f>
        <v>15.2461538461538</v>
      </c>
      <c r="M27" s="36" t="n">
        <f aca="false">IFERROR(AVERAGEIFS('CLEANED DATA'!$AJ$2:$AJ$1000,'CLEANED DATA'!$D$2:$D$1000,$A27),"")</f>
        <v>24</v>
      </c>
      <c r="N27" s="34" t="n">
        <f aca="false">COUNTIFS('CLEANED DATA'!$D$2:$D$1000,$A27,'CLEANED DATA'!$AL$2:$AL$1000,1)</f>
        <v>5</v>
      </c>
      <c r="O27" s="37" t="n">
        <f aca="false">SUMIFS('CLEANED DATA'!$H$2:$H$1000,'CLEANED DATA'!$D$2:$D$1000,$A27,'CLEANED DATA'!$N$2:$N$1000,"&lt;&gt;Cancelled")</f>
        <v>63478000</v>
      </c>
    </row>
    <row r="28" customFormat="false" ht="15" hidden="false" customHeight="false" outlineLevel="0" collapsed="false">
      <c r="A28" s="33" t="s">
        <v>65</v>
      </c>
      <c r="B28" s="34" t="n">
        <f aca="false">COUNTIFS('CLEANED DATA'!$D$2:$D$1000,$A28)</f>
        <v>36</v>
      </c>
      <c r="C28" s="34" t="n">
        <f aca="false">COUNTIFS('CLEANED DATA'!$D$2:$D$1000,$A28,'CLEANED DATA'!$N$2:$N$1000,"Completed")</f>
        <v>29</v>
      </c>
      <c r="D28" s="34" t="n">
        <f aca="false">COUNTIFS('CLEANED DATA'!$D$2:$D$1000,$A28,'CLEANED DATA'!$N$2:$N$1000,"Pending")</f>
        <v>5</v>
      </c>
      <c r="E28" s="34" t="n">
        <f aca="false">COUNTIFS('CLEANED DATA'!$D$2:$D$1000,$A28,'CLEANED DATA'!$N$2:$N$1000,"Cancelled")</f>
        <v>2</v>
      </c>
      <c r="F28" s="35" t="n">
        <f aca="false">IFERROR(COUNTIFS('CLEANED DATA'!$D$2:$D$1000,$A28,'CLEANED DATA'!$N$2:$N$1000,"Completed")/(COUNTIFS('CLEANED DATA'!$D$2:$D$1000,$A28)-COUNTIFS('CLEANED DATA'!$D$2:$D$1000,$A28,'CLEANED DATA'!$N$2:$N$1000,"Cancelled")),"")</f>
        <v>0.852941176470588</v>
      </c>
      <c r="G28" s="34" t="n">
        <f aca="false">COUNTIFS('CLEANED DATA'!$D$2:$D$1000,$A28,'CLEANED DATA'!$Z$2:$Z$1000,"&gt;-9999")</f>
        <v>31</v>
      </c>
      <c r="H28" s="35" t="n">
        <f aca="false">IFERROR(COUNTIFS('CLEANED DATA'!$D$2:$D$1000,$A28,'CLEANED DATA'!$Z$2:$Z$1000,"&lt;=0")/COUNTIFS('CLEANED DATA'!$D$2:$D$1000,$A28,'CLEANED DATA'!$Z$2:$Z$1000,"&gt;-9999"),"")</f>
        <v>0.67741935483871</v>
      </c>
      <c r="I28" s="34" t="n">
        <f aca="false">COUNTIFS('CLEANED DATA'!$D$2:$D$1000,$A28,'CLEANED DATA'!$Z$2:$Z$1000,"&gt;0")</f>
        <v>10</v>
      </c>
      <c r="J28" s="36" t="n">
        <f aca="false">IFERROR(AVERAGEIFS('CLEANED DATA'!$Z$2:$Z$1000,'CLEANED DATA'!$D$2:$D$1000,$A28,'CLEANED DATA'!$Z$2:$Z$1000,"&gt;0"),"")</f>
        <v>12.8</v>
      </c>
      <c r="K28" s="35" t="n">
        <f aca="false">IFERROR(COUNTIFS('CLEANED DATA'!$D$2:$D$1000,$A28,'CLEANED DATA'!$AD$2:$AD$1000,"&lt;=0")/COUNTIFS('CLEANED DATA'!$D$2:$D$1000,$A28,'CLEANED DATA'!$AD$2:$AD$1000,"&gt;-9999"),"")</f>
        <v>0.571428571428571</v>
      </c>
      <c r="L28" s="36" t="n">
        <f aca="false">IFERROR(AVERAGEIFS('CLEANED DATA'!$AF$2:$AF$1000,'CLEANED DATA'!$D$2:$D$1000,$A28),"")</f>
        <v>17.6774193548387</v>
      </c>
      <c r="M28" s="36" t="n">
        <f aca="false">IFERROR(AVERAGEIFS('CLEANED DATA'!$AJ$2:$AJ$1000,'CLEANED DATA'!$D$2:$D$1000,$A28),"")</f>
        <v>28.8214285714286</v>
      </c>
      <c r="N28" s="34" t="n">
        <f aca="false">COUNTIFS('CLEANED DATA'!$D$2:$D$1000,$A28,'CLEANED DATA'!$AL$2:$AL$1000,1)</f>
        <v>2</v>
      </c>
      <c r="O28" s="37" t="n">
        <f aca="false">SUMIFS('CLEANED DATA'!$H$2:$H$1000,'CLEANED DATA'!$D$2:$D$1000,$A28,'CLEANED DATA'!$N$2:$N$1000,"&lt;&gt;Cancelled")</f>
        <v>38586000</v>
      </c>
    </row>
    <row r="29" customFormat="false" ht="15" hidden="false" customHeight="false" outlineLevel="0" collapsed="false">
      <c r="A29" s="38" t="s">
        <v>996</v>
      </c>
      <c r="B29" s="39" t="n">
        <f aca="false">COUNTA('CLEANED DATA'!$A$2:$A$1000)</f>
        <v>160</v>
      </c>
      <c r="C29" s="39" t="n">
        <f aca="false">COUNTIFS('CLEANED DATA'!$N$2:$N$1000,"Completed")</f>
        <v>121</v>
      </c>
      <c r="D29" s="39" t="n">
        <f aca="false">COUNTIFS('CLEANED DATA'!$N$2:$N$1000,"Pending")</f>
        <v>30</v>
      </c>
      <c r="E29" s="39" t="n">
        <f aca="false">COUNTIFS('CLEANED DATA'!$N$2:$N$1000,"Cancelled")</f>
        <v>9</v>
      </c>
      <c r="F29" s="40" t="n">
        <f aca="false">IFERROR(COUNTIFS('CLEANED DATA'!$N$2:$N$1000,"Completed")/(COUNTA('CLEANED DATA'!$A$2:$A$1000)-COUNTIFS('CLEANED DATA'!$N$2:$N$1000,"Cancelled")),"")</f>
        <v>0.801324503311258</v>
      </c>
      <c r="G29" s="39" t="n">
        <f aca="false">COUNTIFS('CLEANED DATA'!$Z$2:$Z$1000,"&gt;-9999")</f>
        <v>134</v>
      </c>
      <c r="H29" s="40" t="n">
        <f aca="false">IFERROR(COUNTIFS('CLEANED DATA'!$Z$2:$Z$1000,"&lt;=0")/COUNTIFS('CLEANED DATA'!$Z$2:$Z$1000,"&gt;-9999"),"")</f>
        <v>0.723880597014925</v>
      </c>
      <c r="I29" s="39" t="n">
        <f aca="false">COUNTIFS('CLEANED DATA'!$Z$2:$Z$1000,"&gt;0")</f>
        <v>37</v>
      </c>
      <c r="J29" s="41" t="n">
        <f aca="false">IFERROR(AVERAGEIFS('CLEANED DATA'!$Z$2:$Z$1000,'CLEANED DATA'!$Z$2:$Z$1000,"&gt;0"),"")</f>
        <v>6.7027027027027</v>
      </c>
      <c r="K29" s="40" t="n">
        <f aca="false">IFERROR(COUNTIFS('CLEANED DATA'!$AD$2:$AD$1000,"&lt;=0")/COUNTIFS('CLEANED DATA'!$AD$2:$AD$1000,"&gt;-9999"),"")</f>
        <v>0.601694915254237</v>
      </c>
      <c r="L29" s="41" t="n">
        <f aca="false">IFERROR(AVERAGE('CLEANED DATA'!$AF$2:$AF$1000),"")</f>
        <v>13.1691176470588</v>
      </c>
      <c r="M29" s="41" t="n">
        <f aca="false">IFERROR(AVERAGE('CLEANED DATA'!$AJ$2:$AJ$1000),"")</f>
        <v>22.3898305084746</v>
      </c>
      <c r="N29" s="39" t="n">
        <f aca="false">COUNTIFS('CLEANED DATA'!$AL$2:$AL$1000,1)</f>
        <v>9</v>
      </c>
      <c r="O29" s="42" t="n">
        <f aca="false">SUMIFS('CLEANED DATA'!$H$2:$H$1000,'CLEANED DATA'!$N$2:$N$1000,"&lt;&gt;Cancelled")</f>
        <v>112001000</v>
      </c>
    </row>
    <row r="31" customFormat="false" ht="15" hidden="false" customHeight="false" outlineLevel="0" collapsed="false">
      <c r="A31" s="6" t="s">
        <v>1000</v>
      </c>
    </row>
    <row r="32" customFormat="false" ht="35.05" hidden="false" customHeight="false" outlineLevel="0" collapsed="false">
      <c r="A32" s="11" t="s">
        <v>48</v>
      </c>
      <c r="B32" s="11" t="s">
        <v>988</v>
      </c>
      <c r="C32" s="11" t="s">
        <v>75</v>
      </c>
      <c r="D32" s="11" t="s">
        <v>328</v>
      </c>
      <c r="E32" s="11" t="s">
        <v>188</v>
      </c>
      <c r="F32" s="11" t="s">
        <v>989</v>
      </c>
      <c r="G32" s="11" t="s">
        <v>848</v>
      </c>
      <c r="H32" s="11" t="s">
        <v>990</v>
      </c>
      <c r="I32" s="11" t="s">
        <v>980</v>
      </c>
      <c r="J32" s="11" t="s">
        <v>991</v>
      </c>
      <c r="K32" s="11" t="s">
        <v>992</v>
      </c>
      <c r="L32" s="11" t="s">
        <v>993</v>
      </c>
      <c r="M32" s="11" t="s">
        <v>994</v>
      </c>
      <c r="N32" s="11" t="s">
        <v>35</v>
      </c>
      <c r="O32" s="11" t="s">
        <v>995</v>
      </c>
    </row>
    <row r="33" customFormat="false" ht="15" hidden="false" customHeight="false" outlineLevel="0" collapsed="false">
      <c r="A33" s="33" t="s">
        <v>91</v>
      </c>
      <c r="B33" s="34" t="n">
        <f aca="false">COUNTIFS('CLEANED DATA'!$E$2:$E$1000,$A33)</f>
        <v>93</v>
      </c>
      <c r="C33" s="34" t="n">
        <f aca="false">COUNTIFS('CLEANED DATA'!$E$2:$E$1000,$A33,'CLEANED DATA'!$N$2:$N$1000,"Completed")</f>
        <v>72</v>
      </c>
      <c r="D33" s="34" t="n">
        <f aca="false">COUNTIFS('CLEANED DATA'!$E$2:$E$1000,$A33,'CLEANED DATA'!$N$2:$N$1000,"Pending")</f>
        <v>15</v>
      </c>
      <c r="E33" s="34" t="n">
        <f aca="false">COUNTIFS('CLEANED DATA'!$E$2:$E$1000,$A33,'CLEANED DATA'!$N$2:$N$1000,"Cancelled")</f>
        <v>6</v>
      </c>
      <c r="F33" s="35" t="n">
        <f aca="false">IFERROR(COUNTIFS('CLEANED DATA'!$E$2:$E$1000,$A33,'CLEANED DATA'!$N$2:$N$1000,"Completed")/(COUNTIFS('CLEANED DATA'!$E$2:$E$1000,$A33)-COUNTIFS('CLEANED DATA'!$E$2:$E$1000,$A33,'CLEANED DATA'!$N$2:$N$1000,"Cancelled")),"")</f>
        <v>0.827586206896552</v>
      </c>
      <c r="G33" s="34" t="n">
        <f aca="false">COUNTIFS('CLEANED DATA'!$E$2:$E$1000,$A33,'CLEANED DATA'!$Z$2:$Z$1000,"&gt;-9999")</f>
        <v>79</v>
      </c>
      <c r="H33" s="35" t="n">
        <f aca="false">IFERROR(COUNTIFS('CLEANED DATA'!$E$2:$E$1000,$A33,'CLEANED DATA'!$Z$2:$Z$1000,"&lt;=0")/COUNTIFS('CLEANED DATA'!$E$2:$E$1000,$A33,'CLEANED DATA'!$Z$2:$Z$1000,"&gt;-9999"),"")</f>
        <v>0.784810126582278</v>
      </c>
      <c r="I33" s="34" t="n">
        <f aca="false">COUNTIFS('CLEANED DATA'!$E$2:$E$1000,$A33,'CLEANED DATA'!$Z$2:$Z$1000,"&gt;0")</f>
        <v>17</v>
      </c>
      <c r="J33" s="36" t="n">
        <f aca="false">IFERROR(AVERAGEIFS('CLEANED DATA'!$Z$2:$Z$1000,'CLEANED DATA'!$E$2:$E$1000,$A33,'CLEANED DATA'!$Z$2:$Z$1000,"&gt;0"),"")</f>
        <v>8</v>
      </c>
      <c r="K33" s="35" t="n">
        <f aca="false">IFERROR(COUNTIFS('CLEANED DATA'!$E$2:$E$1000,$A33,'CLEANED DATA'!$AD$2:$AD$1000,"&lt;=0")/COUNTIFS('CLEANED DATA'!$E$2:$E$1000,$A33,'CLEANED DATA'!$AD$2:$AD$1000,"&gt;-9999"),"")</f>
        <v>0.685714285714286</v>
      </c>
      <c r="L33" s="36" t="n">
        <f aca="false">IFERROR(AVERAGEIFS('CLEANED DATA'!$AF$2:$AF$1000,'CLEANED DATA'!$E$2:$E$1000,$A33),"")</f>
        <v>13.3544303797468</v>
      </c>
      <c r="M33" s="36" t="n">
        <f aca="false">IFERROR(AVERAGEIFS('CLEANED DATA'!$AJ$2:$AJ$1000,'CLEANED DATA'!$E$2:$E$1000,$A33),"")</f>
        <v>21.0571428571429</v>
      </c>
      <c r="N33" s="34" t="n">
        <f aca="false">COUNTIFS('CLEANED DATA'!$E$2:$E$1000,$A33,'CLEANED DATA'!$AL$2:$AL$1000,1)</f>
        <v>3</v>
      </c>
      <c r="O33" s="37" t="n">
        <f aca="false">SUMIFS('CLEANED DATA'!$H$2:$H$1000,'CLEANED DATA'!$E$2:$E$1000,$A33,'CLEANED DATA'!$N$2:$N$1000,"&lt;&gt;Cancelled")</f>
        <v>64917000</v>
      </c>
    </row>
    <row r="34" customFormat="false" ht="15" hidden="false" customHeight="false" outlineLevel="0" collapsed="false">
      <c r="A34" s="33" t="s">
        <v>102</v>
      </c>
      <c r="B34" s="34" t="n">
        <f aca="false">COUNTIFS('CLEANED DATA'!$E$2:$E$1000,$A34)</f>
        <v>39</v>
      </c>
      <c r="C34" s="34" t="n">
        <f aca="false">COUNTIFS('CLEANED DATA'!$E$2:$E$1000,$A34,'CLEANED DATA'!$N$2:$N$1000,"Completed")</f>
        <v>32</v>
      </c>
      <c r="D34" s="34" t="n">
        <f aca="false">COUNTIFS('CLEANED DATA'!$E$2:$E$1000,$A34,'CLEANED DATA'!$N$2:$N$1000,"Pending")</f>
        <v>4</v>
      </c>
      <c r="E34" s="34" t="n">
        <f aca="false">COUNTIFS('CLEANED DATA'!$E$2:$E$1000,$A34,'CLEANED DATA'!$N$2:$N$1000,"Cancelled")</f>
        <v>3</v>
      </c>
      <c r="F34" s="35" t="n">
        <f aca="false">IFERROR(COUNTIFS('CLEANED DATA'!$E$2:$E$1000,$A34,'CLEANED DATA'!$N$2:$N$1000,"Completed")/(COUNTIFS('CLEANED DATA'!$E$2:$E$1000,$A34)-COUNTIFS('CLEANED DATA'!$E$2:$E$1000,$A34,'CLEANED DATA'!$N$2:$N$1000,"Cancelled")),"")</f>
        <v>0.888888888888889</v>
      </c>
      <c r="G34" s="34" t="n">
        <f aca="false">COUNTIFS('CLEANED DATA'!$E$2:$E$1000,$A34,'CLEANED DATA'!$Z$2:$Z$1000,"&gt;-9999")</f>
        <v>34</v>
      </c>
      <c r="H34" s="35" t="n">
        <f aca="false">IFERROR(COUNTIFS('CLEANED DATA'!$E$2:$E$1000,$A34,'CLEANED DATA'!$Z$2:$Z$1000,"&lt;=0")/COUNTIFS('CLEANED DATA'!$E$2:$E$1000,$A34,'CLEANED DATA'!$Z$2:$Z$1000,"&gt;-9999"),"")</f>
        <v>0.705882352941177</v>
      </c>
      <c r="I34" s="34" t="n">
        <f aca="false">COUNTIFS('CLEANED DATA'!$E$2:$E$1000,$A34,'CLEANED DATA'!$Z$2:$Z$1000,"&gt;0")</f>
        <v>10</v>
      </c>
      <c r="J34" s="36" t="n">
        <f aca="false">IFERROR(AVERAGEIFS('CLEANED DATA'!$Z$2:$Z$1000,'CLEANED DATA'!$E$2:$E$1000,$A34,'CLEANED DATA'!$Z$2:$Z$1000,"&gt;0"),"")</f>
        <v>4.6</v>
      </c>
      <c r="K34" s="35" t="n">
        <f aca="false">IFERROR(COUNTIFS('CLEANED DATA'!$E$2:$E$1000,$A34,'CLEANED DATA'!$AD$2:$AD$1000,"&lt;=0")/COUNTIFS('CLEANED DATA'!$E$2:$E$1000,$A34,'CLEANED DATA'!$AD$2:$AD$1000,"&gt;-9999"),"")</f>
        <v>0.451612903225806</v>
      </c>
      <c r="L34" s="36" t="n">
        <f aca="false">IFERROR(AVERAGEIFS('CLEANED DATA'!$AF$2:$AF$1000,'CLEANED DATA'!$E$2:$E$1000,$A34),"")</f>
        <v>13.1764705882353</v>
      </c>
      <c r="M34" s="36" t="n">
        <f aca="false">IFERROR(AVERAGEIFS('CLEANED DATA'!$AJ$2:$AJ$1000,'CLEANED DATA'!$E$2:$E$1000,$A34),"")</f>
        <v>21.8709677419355</v>
      </c>
      <c r="N34" s="34" t="n">
        <f aca="false">COUNTIFS('CLEANED DATA'!$E$2:$E$1000,$A34,'CLEANED DATA'!$AL$2:$AL$1000,1)</f>
        <v>1</v>
      </c>
      <c r="O34" s="37" t="n">
        <f aca="false">SUMIFS('CLEANED DATA'!$H$2:$H$1000,'CLEANED DATA'!$E$2:$E$1000,$A34,'CLEANED DATA'!$N$2:$N$1000,"&lt;&gt;Cancelled")</f>
        <v>25010000</v>
      </c>
    </row>
    <row r="35" customFormat="false" ht="15" hidden="false" customHeight="false" outlineLevel="0" collapsed="false">
      <c r="A35" s="33" t="s">
        <v>66</v>
      </c>
      <c r="B35" s="34" t="n">
        <f aca="false">COUNTIFS('CLEANED DATA'!$E$2:$E$1000,$A35)</f>
        <v>28</v>
      </c>
      <c r="C35" s="34" t="n">
        <f aca="false">COUNTIFS('CLEANED DATA'!$E$2:$E$1000,$A35,'CLEANED DATA'!$N$2:$N$1000,"Completed")</f>
        <v>17</v>
      </c>
      <c r="D35" s="34" t="n">
        <f aca="false">COUNTIFS('CLEANED DATA'!$E$2:$E$1000,$A35,'CLEANED DATA'!$N$2:$N$1000,"Pending")</f>
        <v>11</v>
      </c>
      <c r="E35" s="34" t="n">
        <f aca="false">COUNTIFS('CLEANED DATA'!$E$2:$E$1000,$A35,'CLEANED DATA'!$N$2:$N$1000,"Cancelled")</f>
        <v>0</v>
      </c>
      <c r="F35" s="35" t="n">
        <f aca="false">IFERROR(COUNTIFS('CLEANED DATA'!$E$2:$E$1000,$A35,'CLEANED DATA'!$N$2:$N$1000,"Completed")/(COUNTIFS('CLEANED DATA'!$E$2:$E$1000,$A35)-COUNTIFS('CLEANED DATA'!$E$2:$E$1000,$A35,'CLEANED DATA'!$N$2:$N$1000,"Cancelled")),"")</f>
        <v>0.607142857142857</v>
      </c>
      <c r="G35" s="34" t="n">
        <f aca="false">COUNTIFS('CLEANED DATA'!$E$2:$E$1000,$A35,'CLEANED DATA'!$Z$2:$Z$1000,"&gt;-9999")</f>
        <v>21</v>
      </c>
      <c r="H35" s="35" t="n">
        <f aca="false">IFERROR(COUNTIFS('CLEANED DATA'!$E$2:$E$1000,$A35,'CLEANED DATA'!$Z$2:$Z$1000,"&lt;=0")/COUNTIFS('CLEANED DATA'!$E$2:$E$1000,$A35,'CLEANED DATA'!$Z$2:$Z$1000,"&gt;-9999"),"")</f>
        <v>0.523809523809524</v>
      </c>
      <c r="I35" s="34" t="n">
        <f aca="false">COUNTIFS('CLEANED DATA'!$E$2:$E$1000,$A35,'CLEANED DATA'!$Z$2:$Z$1000,"&gt;0")</f>
        <v>10</v>
      </c>
      <c r="J35" s="36" t="n">
        <f aca="false">IFERROR(AVERAGEIFS('CLEANED DATA'!$Z$2:$Z$1000,'CLEANED DATA'!$E$2:$E$1000,$A35,'CLEANED DATA'!$Z$2:$Z$1000,"&gt;0"),"")</f>
        <v>6.6</v>
      </c>
      <c r="K35" s="35" t="n">
        <f aca="false">IFERROR(COUNTIFS('CLEANED DATA'!$E$2:$E$1000,$A35,'CLEANED DATA'!$AD$2:$AD$1000,"&lt;=0")/COUNTIFS('CLEANED DATA'!$E$2:$E$1000,$A35,'CLEANED DATA'!$AD$2:$AD$1000,"&gt;-9999"),"")</f>
        <v>0.529411764705882</v>
      </c>
      <c r="L35" s="36" t="n">
        <f aca="false">IFERROR(AVERAGEIFS('CLEANED DATA'!$AF$2:$AF$1000,'CLEANED DATA'!$E$2:$E$1000,$A35),"")</f>
        <v>12.5217391304348</v>
      </c>
      <c r="M35" s="36" t="n">
        <f aca="false">IFERROR(AVERAGEIFS('CLEANED DATA'!$AJ$2:$AJ$1000,'CLEANED DATA'!$E$2:$E$1000,$A35),"")</f>
        <v>28.8235294117647</v>
      </c>
      <c r="N35" s="34" t="n">
        <f aca="false">COUNTIFS('CLEANED DATA'!$E$2:$E$1000,$A35,'CLEANED DATA'!$AL$2:$AL$1000,1)</f>
        <v>5</v>
      </c>
      <c r="O35" s="37" t="n">
        <f aca="false">SUMIFS('CLEANED DATA'!$H$2:$H$1000,'CLEANED DATA'!$E$2:$E$1000,$A35,'CLEANED DATA'!$N$2:$N$1000,"&lt;&gt;Cancelled")</f>
        <v>22074000</v>
      </c>
    </row>
    <row r="36" customFormat="false" ht="15" hidden="false" customHeight="false" outlineLevel="0" collapsed="false">
      <c r="A36" s="38" t="s">
        <v>996</v>
      </c>
      <c r="B36" s="39" t="n">
        <f aca="false">COUNTA('CLEANED DATA'!$A$2:$A$1000)</f>
        <v>160</v>
      </c>
      <c r="C36" s="39" t="n">
        <f aca="false">COUNTIFS('CLEANED DATA'!$N$2:$N$1000,"Completed")</f>
        <v>121</v>
      </c>
      <c r="D36" s="39" t="n">
        <f aca="false">COUNTIFS('CLEANED DATA'!$N$2:$N$1000,"Pending")</f>
        <v>30</v>
      </c>
      <c r="E36" s="39" t="n">
        <f aca="false">COUNTIFS('CLEANED DATA'!$N$2:$N$1000,"Cancelled")</f>
        <v>9</v>
      </c>
      <c r="F36" s="40" t="n">
        <f aca="false">IFERROR(COUNTIFS('CLEANED DATA'!$N$2:$N$1000,"Completed")/(COUNTA('CLEANED DATA'!$A$2:$A$1000)-COUNTIFS('CLEANED DATA'!$N$2:$N$1000,"Cancelled")),"")</f>
        <v>0.801324503311258</v>
      </c>
      <c r="G36" s="39" t="n">
        <f aca="false">COUNTIFS('CLEANED DATA'!$Z$2:$Z$1000,"&gt;-9999")</f>
        <v>134</v>
      </c>
      <c r="H36" s="40" t="n">
        <f aca="false">IFERROR(COUNTIFS('CLEANED DATA'!$Z$2:$Z$1000,"&lt;=0")/COUNTIFS('CLEANED DATA'!$Z$2:$Z$1000,"&gt;-9999"),"")</f>
        <v>0.723880597014925</v>
      </c>
      <c r="I36" s="39" t="n">
        <f aca="false">COUNTIFS('CLEANED DATA'!$Z$2:$Z$1000,"&gt;0")</f>
        <v>37</v>
      </c>
      <c r="J36" s="41" t="n">
        <f aca="false">IFERROR(AVERAGEIFS('CLEANED DATA'!$Z$2:$Z$1000,'CLEANED DATA'!$Z$2:$Z$1000,"&gt;0"),"")</f>
        <v>6.7027027027027</v>
      </c>
      <c r="K36" s="40" t="n">
        <f aca="false">IFERROR(COUNTIFS('CLEANED DATA'!$AD$2:$AD$1000,"&lt;=0")/COUNTIFS('CLEANED DATA'!$AD$2:$AD$1000,"&gt;-9999"),"")</f>
        <v>0.601694915254237</v>
      </c>
      <c r="L36" s="41" t="n">
        <f aca="false">IFERROR(AVERAGE('CLEANED DATA'!$AF$2:$AF$1000),"")</f>
        <v>13.1691176470588</v>
      </c>
      <c r="M36" s="41" t="n">
        <f aca="false">IFERROR(AVERAGE('CLEANED DATA'!$AJ$2:$AJ$1000),"")</f>
        <v>22.3898305084746</v>
      </c>
      <c r="N36" s="39" t="n">
        <f aca="false">COUNTIFS('CLEANED DATA'!$AL$2:$AL$1000,1)</f>
        <v>9</v>
      </c>
      <c r="O36" s="42" t="n">
        <f aca="false">SUMIFS('CLEANED DATA'!$H$2:$H$1000,'CLEANED DATA'!$N$2:$N$1000,"&lt;&gt;Cancelled")</f>
        <v>112001000</v>
      </c>
    </row>
    <row r="38" customFormat="false" ht="15" hidden="false" customHeight="false" outlineLevel="0" collapsed="false">
      <c r="A38" s="6" t="s">
        <v>1001</v>
      </c>
    </row>
    <row r="39" customFormat="false" ht="23.85" hidden="false" customHeight="false" outlineLevel="0" collapsed="false">
      <c r="A39" s="11" t="s">
        <v>1002</v>
      </c>
      <c r="B39" s="11" t="s">
        <v>988</v>
      </c>
      <c r="C39" s="11" t="s">
        <v>1003</v>
      </c>
      <c r="D39" s="11" t="s">
        <v>1004</v>
      </c>
    </row>
    <row r="40" customFormat="false" ht="15" hidden="false" customHeight="false" outlineLevel="0" collapsed="false">
      <c r="A40" s="33" t="s">
        <v>1005</v>
      </c>
      <c r="B40" s="34" t="n">
        <f aca="false">COUNTIF('CLEANED DATA'!$AK$2:$AK$1000,$A40)</f>
        <v>14</v>
      </c>
      <c r="C40" s="34" t="n">
        <f aca="false">COUNTIFS('CLEANED DATA'!$AK$2:$AK$1000,$A40,'CLEANED DATA'!$AL$2:$AL$1000,1)</f>
        <v>1</v>
      </c>
      <c r="D40" s="36" t="n">
        <f aca="false">IFERROR(AVERAGEIFS('CLEANED DATA'!$AM$2:$AM$1000,'CLEANED DATA'!$AK$2:$AK$1000,$A40),"")</f>
        <v>1</v>
      </c>
    </row>
    <row r="41" customFormat="false" ht="15" hidden="false" customHeight="false" outlineLevel="0" collapsed="false">
      <c r="A41" s="33" t="s">
        <v>1006</v>
      </c>
      <c r="B41" s="34" t="n">
        <f aca="false">COUNTIF('CLEANED DATA'!$AK$2:$AK$1000,$A41)</f>
        <v>2</v>
      </c>
      <c r="C41" s="34" t="n">
        <f aca="false">COUNTIFS('CLEANED DATA'!$AK$2:$AK$1000,$A41,'CLEANED DATA'!$AL$2:$AL$1000,1)</f>
        <v>1</v>
      </c>
      <c r="D41" s="36" t="n">
        <f aca="false">IFERROR(AVERAGEIFS('CLEANED DATA'!$AM$2:$AM$1000,'CLEANED DATA'!$AK$2:$AK$1000,$A41),"")</f>
        <v>14</v>
      </c>
    </row>
    <row r="42" customFormat="false" ht="15" hidden="false" customHeight="false" outlineLevel="0" collapsed="false">
      <c r="A42" s="33" t="s">
        <v>1007</v>
      </c>
      <c r="B42" s="34" t="n">
        <f aca="false">COUNTIF('CLEANED DATA'!$AK$2:$AK$1000,$A42)</f>
        <v>14</v>
      </c>
      <c r="C42" s="34" t="n">
        <f aca="false">COUNTIFS('CLEANED DATA'!$AK$2:$AK$1000,$A42,'CLEANED DATA'!$AL$2:$AL$1000,1)</f>
        <v>7</v>
      </c>
      <c r="D42" s="36" t="n">
        <f aca="false">IFERROR(AVERAGEIFS('CLEANED DATA'!$AM$2:$AM$1000,'CLEANED DATA'!$AK$2:$AK$1000,$A42),"")</f>
        <v>47.4285714285714</v>
      </c>
    </row>
    <row r="43" customFormat="false" ht="15" hidden="false" customHeight="false" outlineLevel="0" collapsed="false">
      <c r="A43" s="33" t="s">
        <v>75</v>
      </c>
      <c r="B43" s="34" t="n">
        <f aca="false">COUNTIF('CLEANED DATA'!$AK$2:$AK$1000,$A43)</f>
        <v>121</v>
      </c>
      <c r="C43" s="34" t="n">
        <f aca="false">COUNTIFS('CLEANED DATA'!$AK$2:$AK$1000,$A43,'CLEANED DATA'!$AL$2:$AL$1000,1)</f>
        <v>0</v>
      </c>
      <c r="D43" s="36" t="str">
        <f aca="false">IFERROR(AVERAGEIFS('CLEANED DATA'!$AM$2:$AM$1000,'CLEANED DATA'!$AK$2:$AK$1000,$A43),"")</f>
        <v/>
      </c>
    </row>
    <row r="44" customFormat="false" ht="15" hidden="false" customHeight="false" outlineLevel="0" collapsed="false">
      <c r="A44" s="33" t="s">
        <v>188</v>
      </c>
      <c r="B44" s="34" t="n">
        <f aca="false">COUNTIF('CLEANED DATA'!$AK$2:$AK$1000,$A44)</f>
        <v>9</v>
      </c>
      <c r="C44" s="34" t="n">
        <f aca="false">COUNTIFS('CLEANED DATA'!$AK$2:$AK$1000,$A44,'CLEANED DATA'!$AL$2:$AL$1000,1)</f>
        <v>0</v>
      </c>
      <c r="D44" s="36" t="str">
        <f aca="false">IFERROR(AVERAGEIFS('CLEANED DATA'!$AM$2:$AM$1000,'CLEANED DATA'!$AK$2:$AK$1000,$A44),"")</f>
        <v/>
      </c>
    </row>
    <row r="46" customFormat="false" ht="15" hidden="false" customHeight="false" outlineLevel="0" collapsed="false">
      <c r="A46" s="6" t="s">
        <v>1008</v>
      </c>
    </row>
    <row r="47" customFormat="false" ht="23.85" hidden="false" customHeight="false" outlineLevel="0" collapsed="false">
      <c r="A47" s="11" t="s">
        <v>1009</v>
      </c>
      <c r="B47" s="11" t="s">
        <v>980</v>
      </c>
      <c r="C47" s="11" t="s">
        <v>1010</v>
      </c>
      <c r="D47" s="11"/>
      <c r="E47" s="11" t="s">
        <v>1011</v>
      </c>
      <c r="F47" s="11" t="s">
        <v>911</v>
      </c>
      <c r="G47" s="11" t="s">
        <v>1010</v>
      </c>
    </row>
    <row r="48" customFormat="false" ht="15" hidden="false" customHeight="false" outlineLevel="0" collapsed="false">
      <c r="A48" s="33" t="s">
        <v>110</v>
      </c>
      <c r="B48" s="44" t="n">
        <f aca="false">COUNTIFS('CLEANED DATA'!$Z$2:$Z$1000,"&gt;0",'CLEANED DATA'!$O$2:$O$1000,"Production backlog")</f>
        <v>16</v>
      </c>
      <c r="C48" s="45" t="n">
        <f aca="false">IFERROR(AVERAGEIFS('CLEANED DATA'!$Z$2:$Z$1000,'CLEANED DATA'!$Z$2:$Z$1000,"&gt;0",'CLEANED DATA'!$O$2:$O$1000,"Production backlog"),"")</f>
        <v>4</v>
      </c>
      <c r="E48" s="33" t="s">
        <v>183</v>
      </c>
      <c r="F48" s="44" t="n">
        <f aca="false">COUNTIFS('CLEANED DATA'!$AD$2:$AD$1000,"&gt;0",'CLEANED DATA'!$P$2:$P$1000,"Customer site not ready")</f>
        <v>17</v>
      </c>
      <c r="G48" s="45" t="n">
        <f aca="false">IFERROR(AVERAGEIFS('CLEANED DATA'!$AD$2:$AD$1000,'CLEANED DATA'!$AD$2:$AD$1000,"&gt;0",'CLEANED DATA'!$P$2:$P$1000,"Customer site not ready"),"")</f>
        <v>11.5294117647059</v>
      </c>
    </row>
    <row r="49" customFormat="false" ht="15" hidden="false" customHeight="false" outlineLevel="0" collapsed="false">
      <c r="A49" s="33" t="s">
        <v>84</v>
      </c>
      <c r="B49" s="44" t="n">
        <f aca="false">COUNTIFS('CLEANED DATA'!$Z$2:$Z$1000,"&gt;0",'CLEANED DATA'!$O$2:$O$1000,"Component shortage")</f>
        <v>9</v>
      </c>
      <c r="C49" s="45" t="n">
        <f aca="false">IFERROR(AVERAGEIFS('CLEANED DATA'!$Z$2:$Z$1000,'CLEANED DATA'!$Z$2:$Z$1000,"&gt;0",'CLEANED DATA'!$O$2:$O$1000,"Component shortage"),"")</f>
        <v>15.3333333333333</v>
      </c>
      <c r="E49" s="33" t="s">
        <v>85</v>
      </c>
      <c r="F49" s="44" t="n">
        <f aca="false">COUNTIFS('CLEANED DATA'!$AD$2:$AD$1000,"&gt;0",'CLEANED DATA'!$P$2:$P$1000,"Knock-on from late delivery")</f>
        <v>12</v>
      </c>
      <c r="G49" s="45" t="n">
        <f aca="false">IFERROR(AVERAGEIFS('CLEANED DATA'!$AD$2:$AD$1000,'CLEANED DATA'!$AD$2:$AD$1000,"&gt;0",'CLEANED DATA'!$P$2:$P$1000,"Knock-on from late delivery"),"")</f>
        <v>10.25</v>
      </c>
    </row>
    <row r="50" customFormat="false" ht="15" hidden="false" customHeight="false" outlineLevel="0" collapsed="false">
      <c r="A50" s="33" t="s">
        <v>329</v>
      </c>
      <c r="B50" s="44" t="n">
        <f aca="false">COUNTIFS('CLEANED DATA'!$Z$2:$Z$1000,"&gt;0",'CLEANED DATA'!$O$2:$O$1000,"Transport scheduling")</f>
        <v>3</v>
      </c>
      <c r="C50" s="45" t="n">
        <f aca="false">IFERROR(AVERAGEIFS('CLEANED DATA'!$Z$2:$Z$1000,'CLEANED DATA'!$Z$2:$Z$1000,"&gt;0",'CLEANED DATA'!$O$2:$O$1000,"Transport scheduling"),"")</f>
        <v>6.33333333333333</v>
      </c>
      <c r="E50" s="33" t="s">
        <v>111</v>
      </c>
      <c r="F50" s="44" t="n">
        <f aca="false">COUNTIFS('CLEANED DATA'!$AD$2:$AD$1000,"&gt;0",'CLEANED DATA'!$P$2:$P$1000,"Technician availability")</f>
        <v>4</v>
      </c>
      <c r="G50" s="45" t="n">
        <f aca="false">IFERROR(AVERAGEIFS('CLEANED DATA'!$AD$2:$AD$1000,'CLEANED DATA'!$AD$2:$AD$1000,"&gt;0",'CLEANED DATA'!$P$2:$P$1000,"Technician availability"),"")</f>
        <v>5.25</v>
      </c>
    </row>
    <row r="51" customFormat="false" ht="15" hidden="false" customHeight="false" outlineLevel="0" collapsed="false">
      <c r="A51" s="33" t="s">
        <v>352</v>
      </c>
      <c r="B51" s="44" t="n">
        <f aca="false">COUNTIFS('CLEANED DATA'!$Z$2:$Z$1000,"&gt;0",'CLEANED DATA'!$O$2:$O$1000,"Dispatch scheduling")</f>
        <v>1</v>
      </c>
      <c r="C51" s="45" t="n">
        <f aca="false">IFERROR(AVERAGEIFS('CLEANED DATA'!$Z$2:$Z$1000,'CLEANED DATA'!$Z$2:$Z$1000,"&gt;0",'CLEANED DATA'!$O$2:$O$1000,"Dispatch scheduling"),"")</f>
        <v>1</v>
      </c>
      <c r="E51" s="33" t="s">
        <v>1012</v>
      </c>
      <c r="F51" s="44" t="n">
        <f aca="false">COUNTIFS('CLEANED DATA'!$AD$2:$AD$1000,"&gt;0",'CLEANED DATA'!$P$2:$P$1000,"Installation scheduling")</f>
        <v>0</v>
      </c>
      <c r="G51" s="45" t="str">
        <f aca="false">IFERROR(AVERAGEIFS('CLEANED DATA'!$AD$2:$AD$1000,'CLEANED DATA'!$AD$2:$AD$1000,"&gt;0",'CLEANED DATA'!$P$2:$P$1000,"Installation scheduling"),"")</f>
        <v/>
      </c>
    </row>
    <row r="52" customFormat="false" ht="15" hidden="false" customHeight="false" outlineLevel="0" collapsed="false">
      <c r="A52" s="33" t="s">
        <v>1013</v>
      </c>
      <c r="B52" s="44" t="n">
        <f aca="false">COUNTIFS('CLEANED DATA'!$Z$2:$Z$1000,"&gt;0",'CLEANED DATA'!$O$2:$O$1000,"")</f>
        <v>8</v>
      </c>
      <c r="C52" s="45" t="n">
        <f aca="false">IFERROR(AVERAGEIFS('CLEANED DATA'!$Z$2:$Z$1000,'CLEANED DATA'!$Z$2:$Z$1000,"&gt;0",'CLEANED DATA'!$O$2:$O$1000,""),"")</f>
        <v>3.25</v>
      </c>
      <c r="E52" s="33" t="s">
        <v>1013</v>
      </c>
      <c r="F52" s="44" t="n">
        <f aca="false">COUNTIFS('CLEANED DATA'!$AD$2:$AD$1000,"&gt;0",'CLEANED DATA'!$P$2:$P$1000,"")</f>
        <v>14</v>
      </c>
      <c r="G52" s="45" t="n">
        <f aca="false">IFERROR(AVERAGEIFS('CLEANED DATA'!$AD$2:$AD$1000,'CLEANED DATA'!$AD$2:$AD$1000,"&gt;0",'CLEANED DATA'!$P$2:$P$1000,""),"")</f>
        <v>10.7857142857143</v>
      </c>
    </row>
    <row r="53" customFormat="false" ht="15" hidden="false" customHeight="false" outlineLevel="0" collapsed="false">
      <c r="A53" s="46" t="s">
        <v>1014</v>
      </c>
    </row>
    <row r="55" customFormat="false" ht="15" hidden="false" customHeight="false" outlineLevel="0" collapsed="false">
      <c r="A55" s="6" t="s">
        <v>1015</v>
      </c>
    </row>
    <row r="56" customFormat="false" ht="23.85" hidden="false" customHeight="false" outlineLevel="0" collapsed="false">
      <c r="A56" s="11" t="s">
        <v>1016</v>
      </c>
      <c r="B56" s="11" t="s">
        <v>1017</v>
      </c>
      <c r="C56" s="11" t="s">
        <v>1018</v>
      </c>
      <c r="D56" s="11" t="s">
        <v>1019</v>
      </c>
      <c r="E56" s="11" t="s">
        <v>1020</v>
      </c>
      <c r="F56" s="11" t="s">
        <v>1021</v>
      </c>
    </row>
    <row r="57" customFormat="false" ht="15" hidden="false" customHeight="false" outlineLevel="0" collapsed="false">
      <c r="A57" s="33" t="s">
        <v>1022</v>
      </c>
      <c r="B57" s="45" t="n">
        <f aca="false">IFERROR(AVERAGE('CLEANED DATA'!$AF$2:$AF$1000),"")</f>
        <v>13.1691176470588</v>
      </c>
      <c r="C57" s="44" t="n">
        <f aca="false">COUNT('CLEANED DATA'!$AF$2:$AF$1000)</f>
        <v>136</v>
      </c>
      <c r="D57" s="47" t="s">
        <v>1023</v>
      </c>
      <c r="E57" s="47" t="s">
        <v>1023</v>
      </c>
      <c r="F57" s="47" t="s">
        <v>1023</v>
      </c>
    </row>
    <row r="58" customFormat="false" ht="15" hidden="false" customHeight="false" outlineLevel="0" collapsed="false">
      <c r="A58" s="33" t="s">
        <v>1024</v>
      </c>
      <c r="B58" s="45" t="n">
        <f aca="false">IFERROR(AVERAGE('CLEANED DATA'!$AG$2:$AG$1000),"")</f>
        <v>3.09774436090226</v>
      </c>
      <c r="C58" s="44" t="n">
        <f aca="false">COUNT('CLEANED DATA'!$AG$2:$AG$1000)</f>
        <v>133</v>
      </c>
      <c r="D58" s="47" t="s">
        <v>1023</v>
      </c>
      <c r="E58" s="47" t="s">
        <v>1023</v>
      </c>
      <c r="F58" s="47" t="s">
        <v>1023</v>
      </c>
    </row>
    <row r="59" customFormat="false" ht="15" hidden="false" customHeight="false" outlineLevel="0" collapsed="false">
      <c r="A59" s="33" t="s">
        <v>1025</v>
      </c>
      <c r="B59" s="45" t="n">
        <f aca="false">IFERROR(AVERAGE('CLEANED DATA'!$AI$2:$AI$1000),"")</f>
        <v>16.0074626865672</v>
      </c>
      <c r="C59" s="44" t="n">
        <f aca="false">COUNT('CLEANED DATA'!$AI$2:$AI$1000)</f>
        <v>134</v>
      </c>
      <c r="D59" s="44" t="n">
        <f aca="false">COUNTIF('CLEANED DATA'!$Z$2:$Z$1000,"&gt;0")</f>
        <v>37</v>
      </c>
      <c r="E59" s="48" t="n">
        <f aca="false">IFERROR(COUNTIF('CLEANED DATA'!$Z$2:$Z$1000,"&gt;0")/COUNT('CLEANED DATA'!$Z$2:$Z$1000),"")</f>
        <v>0.276119402985075</v>
      </c>
      <c r="F59" s="44" t="n">
        <f aca="false">COUNTIF('CLEANED DATA'!$AN$2:$AN$1000,"Delivery")</f>
        <v>2</v>
      </c>
    </row>
    <row r="60" customFormat="false" ht="15" hidden="false" customHeight="false" outlineLevel="0" collapsed="false">
      <c r="A60" s="33" t="s">
        <v>1026</v>
      </c>
      <c r="B60" s="45" t="n">
        <f aca="false">IFERROR(AVERAGE('CLEANED DATA'!$AH$2:$AH$1000),"")</f>
        <v>6.73504273504274</v>
      </c>
      <c r="C60" s="44" t="n">
        <f aca="false">COUNT('CLEANED DATA'!$AH$2:$AH$1000)</f>
        <v>117</v>
      </c>
      <c r="D60" s="44" t="n">
        <f aca="false">COUNTIF('CLEANED DATA'!$AD$2:$AD$1000,"&gt;0")</f>
        <v>47</v>
      </c>
      <c r="E60" s="48" t="n">
        <f aca="false">IFERROR(COUNTIF('CLEANED DATA'!$AD$2:$AD$1000,"&gt;0")/COUNT('CLEANED DATA'!$AD$2:$AD$1000),"")</f>
        <v>0.398305084745763</v>
      </c>
      <c r="F60" s="44" t="n">
        <f aca="false">COUNTIF('CLEANED DATA'!$AN$2:$AN$1000,"Installation")</f>
        <v>7</v>
      </c>
    </row>
    <row r="62" customFormat="false" ht="15" hidden="false" customHeight="false" outlineLevel="0" collapsed="false">
      <c r="A62" s="6" t="s">
        <v>1027</v>
      </c>
    </row>
    <row r="63" customFormat="false" ht="15" hidden="false" customHeight="false" outlineLevel="0" collapsed="false">
      <c r="A63" s="14" t="s">
        <v>1028</v>
      </c>
    </row>
    <row r="64" customFormat="false" ht="15" hidden="false" customHeight="false" outlineLevel="0" collapsed="false">
      <c r="A64" s="14" t="s">
        <v>1029</v>
      </c>
    </row>
    <row r="65" customFormat="false" ht="15" hidden="false" customHeight="false" outlineLevel="0" collapsed="false">
      <c r="A65" s="14" t="s">
        <v>1030</v>
      </c>
    </row>
    <row r="66" customFormat="false" ht="15" hidden="false" customHeight="false" outlineLevel="0" collapsed="false">
      <c r="A66" s="14" t="s">
        <v>1031</v>
      </c>
    </row>
    <row r="67" customFormat="false" ht="15" hidden="false" customHeight="false" outlineLevel="0" collapsed="false">
      <c r="A67" s="14" t="s">
        <v>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X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9" min="2" style="0" width="10.51"/>
  </cols>
  <sheetData>
    <row r="1" customFormat="false" ht="33.75" hidden="false" customHeight="true" outlineLevel="0" collapsed="false">
      <c r="B1" s="1" t="s">
        <v>1033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49" t="str">
        <f aca="false">"Neo Heat Pump - Sai Heating and Cooling Solutions  |  Case study  |  Orders Jan-Jun 2026  |  As of "&amp;TEXT(AsOf,"dd-mmm-yyyy")&amp;"  |  SIMULATED DATA - not real company performance"</f>
        <v>Neo Heat Pump - Sai Heating and Cooling Solutions  |  Case study  |  Orders Jan-Jun 2026  |  As of 30-Jun-2026  |  SIMULATED DATA - not real company performance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4" customFormat="false" ht="15" hidden="false" customHeight="true" outlineLevel="0" collapsed="false">
      <c r="B4" s="50" t="s">
        <v>1034</v>
      </c>
      <c r="C4" s="51" t="s">
        <v>1035</v>
      </c>
      <c r="D4" s="51"/>
      <c r="E4" s="51"/>
      <c r="G4" s="50" t="s">
        <v>1036</v>
      </c>
      <c r="H4" s="51" t="s">
        <v>1035</v>
      </c>
      <c r="I4" s="51"/>
      <c r="J4" s="51"/>
      <c r="L4" s="50" t="s">
        <v>48</v>
      </c>
      <c r="M4" s="51" t="s">
        <v>1035</v>
      </c>
      <c r="N4" s="51"/>
      <c r="O4" s="51"/>
    </row>
    <row r="5" customFormat="false" ht="15" hidden="false" customHeight="false" outlineLevel="0" collapsed="false">
      <c r="B5" s="52" t="s">
        <v>1037</v>
      </c>
    </row>
    <row r="6" customFormat="false" ht="3.75" hidden="false" customHeight="true" outlineLevel="0" collapsed="false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true" outlineLevel="0" collapsed="false">
      <c r="B7" s="53" t="s">
        <v>1038</v>
      </c>
      <c r="C7" s="53"/>
      <c r="D7" s="53" t="s">
        <v>1039</v>
      </c>
      <c r="E7" s="53"/>
      <c r="F7" s="53" t="s">
        <v>1040</v>
      </c>
      <c r="G7" s="53"/>
      <c r="H7" s="53" t="s">
        <v>1041</v>
      </c>
      <c r="I7" s="53"/>
      <c r="J7" s="53" t="s">
        <v>1042</v>
      </c>
      <c r="K7" s="53"/>
      <c r="L7" s="53" t="s">
        <v>1043</v>
      </c>
      <c r="M7" s="53"/>
      <c r="N7" s="53" t="s">
        <v>1044</v>
      </c>
      <c r="O7" s="53"/>
      <c r="P7" s="53" t="s">
        <v>1045</v>
      </c>
      <c r="Q7" s="53"/>
    </row>
    <row r="8" customFormat="false" ht="30" hidden="false" customHeight="true" outlineLevel="0" collapsed="false">
      <c r="B8" s="54" t="n">
        <f aca="false">COUNTIFS('CLEANED DATA'!$AO$2:$AO$1000,1)</f>
        <v>160</v>
      </c>
      <c r="C8" s="54"/>
      <c r="D8" s="55" t="n">
        <f aca="false">IFERROR(COUNTIFS('CLEANED DATA'!$AO$2:$AO$1000,1,'CLEANED DATA'!$N$2:$N$1000,"Completed")/(COUNTIFS('CLEANED DATA'!$AO$2:$AO$1000,1)-COUNTIFS('CLEANED DATA'!$AO$2:$AO$1000,1,'CLEANED DATA'!$N$2:$N$1000,"Cancelled")),"n/a")</f>
        <v>0.801324503311258</v>
      </c>
      <c r="E8" s="55"/>
      <c r="F8" s="54" t="n">
        <f aca="false">COUNTIFS('CLEANED DATA'!$AO$2:$AO$1000,1,'CLEANED DATA'!$N$2:$N$1000,"Pending")</f>
        <v>30</v>
      </c>
      <c r="G8" s="54"/>
      <c r="H8" s="55" t="n">
        <f aca="false">IFERROR(COUNTIFS('CLEANED DATA'!$AO$2:$AO$1000,1,'CLEANED DATA'!$Z$2:$Z$1000,"&lt;=0")/COUNTIFS('CLEANED DATA'!$AO$2:$AO$1000,1,'CLEANED DATA'!$Z$2:$Z$1000,"&gt;-9999"),"n/a")</f>
        <v>0.723880597014925</v>
      </c>
      <c r="I8" s="55"/>
      <c r="J8" s="55" t="n">
        <f aca="false">IFERROR(COUNTIFS('CLEANED DATA'!$AO$2:$AO$1000,1,'CLEANED DATA'!$AB$2:$AB$1000,1,'CLEANED DATA'!$AC$2:$AC$1000,1)/COUNTIFS('CLEANED DATA'!$AO$2:$AO$1000,1,'CLEANED DATA'!$AB$2:$AB$1000,1),"n/a")</f>
        <v>0.936</v>
      </c>
      <c r="K8" s="55"/>
      <c r="L8" s="55" t="n">
        <f aca="false">IFERROR(COUNTIFS('CLEANED DATA'!$AO$2:$AO$1000,1,'CLEANED DATA'!$AD$2:$AD$1000,"&lt;=0")/COUNTIFS('CLEANED DATA'!$AO$2:$AO$1000,1,'CLEANED DATA'!$AD$2:$AD$1000,"&gt;-9999"),"n/a")</f>
        <v>0.601694915254237</v>
      </c>
      <c r="M8" s="55"/>
      <c r="N8" s="56" t="n">
        <f aca="false">COUNTIFS('CLEANED DATA'!$AO$2:$AO$1000,1,'CLEANED DATA'!$AL$2:$AL$1000,1)</f>
        <v>9</v>
      </c>
      <c r="O8" s="56"/>
      <c r="P8" s="57" t="n">
        <f aca="false">SUMIFS('CLEANED DATA'!$H$2:$H$1000,'CLEANED DATA'!$AO$2:$AO$1000,1,'CLEANED DATA'!$N$2:$N$1000,"&lt;&gt;Cancelled")/10000000</f>
        <v>11.2001</v>
      </c>
      <c r="Q8" s="57"/>
    </row>
    <row r="9" customFormat="false" ht="24" hidden="false" customHeight="true" outlineLevel="0" collapsed="false">
      <c r="B9" s="58" t="str">
        <f aca="false">"Jan-Jun 2026"</f>
        <v>Jan-Jun 2026</v>
      </c>
      <c r="C9" s="58"/>
      <c r="D9" s="58" t="str">
        <f aca="false">COUNTIFS('CLEANED DATA'!$AO$2:$AO$1000,1,'CLEANED DATA'!$N$2:$N$1000,"Completed")&amp;" completed · "&amp;COUNTIFS('CLEANED DATA'!$AO$2:$AO$1000,1,'CLEANED DATA'!$N$2:$N$1000,"Cancelled")&amp;" cancelled"</f>
        <v>121 completed · 9 cancelled</v>
      </c>
      <c r="E9" s="58"/>
      <c r="F9" s="58" t="str">
        <f aca="false">"₹"&amp;TEXT(SUMIFS('CLEANED DATA'!$H$2:$H$1000,'CLEANED DATA'!$AO$2:$AO$1000,1,'CLEANED DATA'!$N$2:$N$1000,"Pending")/100000,"#,##0")&amp;" lakh open value"</f>
        <v>₹274 lakh open value</v>
      </c>
      <c r="G9" s="58"/>
      <c r="H9" s="58" t="str">
        <f aca="false">COUNTIFS('CLEANED DATA'!$AO$2:$AO$1000,1,'CLEANED DATA'!$Z$2:$Z$1000,"&gt;0")&amp;" late of "&amp;COUNTIFS('CLEANED DATA'!$AO$2:$AO$1000,1,'CLEANED DATA'!$Z$2:$Z$1000,"&gt;-9999")&amp;" delivered"</f>
        <v>37 late of 134 delivered</v>
      </c>
      <c r="I9" s="58"/>
      <c r="J9" s="58" t="str">
        <f aca="false">COUNTIFS('CLEANED DATA'!$AO$2:$AO$1000,1,'CLEANED DATA'!$AB$2:$AB$1000,1,'CLEANED DATA'!$AC$2:$AC$1000,1)&amp;" of "&amp;COUNTIFS('CLEANED DATA'!$AO$2:$AO$1000,1,'CLEANED DATA'!$AB$2:$AB$1000,1)&amp;" due installs done"</f>
        <v>117 of 125 due installs done</v>
      </c>
      <c r="K9" s="58"/>
      <c r="L9" s="58" t="str">
        <f aca="false">"avg "&amp;TEXT(IFERROR(AVERAGEIFS('CLEANED DATA'!$AH$2:$AH$1000,'CLEANED DATA'!$AO$2:$AO$1000,1),0),"0.0")&amp;" days delivery→install"</f>
        <v>avg 6.7 days delivery→install</v>
      </c>
      <c r="M9" s="58"/>
      <c r="N9" s="58" t="str">
        <f aca="false">COUNTIFS('CLEANED DATA'!$AO$2:$AO$1000,1,'CLEANED DATA'!$AN$2:$AN$1000,"Installation")&amp;" stuck at installation"</f>
        <v>7 stuck at installation</v>
      </c>
      <c r="O9" s="58"/>
      <c r="P9" s="58" t="str">
        <f aca="false">"simulated · excl. cancelled"</f>
        <v>simulated · excl. cancelled</v>
      </c>
      <c r="Q9" s="58"/>
    </row>
    <row r="11" customFormat="false" ht="15" hidden="false" customHeight="false" outlineLevel="0" collapsed="false">
      <c r="T11" s="50" t="s">
        <v>1046</v>
      </c>
    </row>
    <row r="12" customFormat="false" ht="15" hidden="false" customHeight="false" outlineLevel="0" collapsed="false">
      <c r="T12" s="59" t="s">
        <v>1047</v>
      </c>
      <c r="U12" s="59" t="s">
        <v>988</v>
      </c>
    </row>
    <row r="13" customFormat="false" ht="15" hidden="false" customHeight="false" outlineLevel="0" collapsed="false">
      <c r="T13" s="60" t="s">
        <v>75</v>
      </c>
      <c r="U13" s="61" t="n">
        <f aca="false">COUNTIFS('CLEANED DATA'!$AO$2:$AO$1000,1,'CLEANED DATA'!$N$2:$N$1000,$T13)</f>
        <v>121</v>
      </c>
    </row>
    <row r="14" customFormat="false" ht="15" hidden="false" customHeight="false" outlineLevel="0" collapsed="false">
      <c r="T14" s="60" t="s">
        <v>328</v>
      </c>
      <c r="U14" s="61" t="n">
        <f aca="false">COUNTIFS('CLEANED DATA'!$AO$2:$AO$1000,1,'CLEANED DATA'!$N$2:$N$1000,$T14)</f>
        <v>30</v>
      </c>
    </row>
    <row r="15" customFormat="false" ht="15" hidden="false" customHeight="false" outlineLevel="0" collapsed="false">
      <c r="T15" s="60" t="s">
        <v>188</v>
      </c>
      <c r="U15" s="61" t="n">
        <f aca="false">COUNTIFS('CLEANED DATA'!$AO$2:$AO$1000,1,'CLEANED DATA'!$N$2:$N$1000,$T15)</f>
        <v>9</v>
      </c>
    </row>
    <row r="17" customFormat="false" ht="15" hidden="false" customHeight="false" outlineLevel="0" collapsed="false">
      <c r="T17" s="59" t="s">
        <v>1048</v>
      </c>
      <c r="U17" s="59" t="s">
        <v>75</v>
      </c>
      <c r="V17" s="59" t="s">
        <v>328</v>
      </c>
      <c r="W17" s="59" t="s">
        <v>188</v>
      </c>
    </row>
    <row r="18" customFormat="false" ht="15" hidden="false" customHeight="false" outlineLevel="0" collapsed="false">
      <c r="T18" s="62" t="n">
        <v>46023</v>
      </c>
      <c r="U18" s="61" t="n">
        <f aca="false">COUNTIFS('CLEANED DATA'!$AO$2:$AO$1000,1,'CLEANED DATA'!$W$2:$W$1000,$T18,'CLEANED DATA'!$N$2:$N$1000,U$17)</f>
        <v>13</v>
      </c>
      <c r="V18" s="61" t="n">
        <f aca="false">COUNTIFS('CLEANED DATA'!$AO$2:$AO$1000,1,'CLEANED DATA'!$W$2:$W$1000,$T18,'CLEANED DATA'!$N$2:$N$1000,V$17)</f>
        <v>0</v>
      </c>
      <c r="W18" s="61" t="n">
        <f aca="false">COUNTIFS('CLEANED DATA'!$AO$2:$AO$1000,1,'CLEANED DATA'!$W$2:$W$1000,$T18,'CLEANED DATA'!$N$2:$N$1000,W$17)</f>
        <v>0</v>
      </c>
    </row>
    <row r="19" customFormat="false" ht="15" hidden="false" customHeight="false" outlineLevel="0" collapsed="false">
      <c r="T19" s="62" t="n">
        <v>46054</v>
      </c>
      <c r="U19" s="61" t="n">
        <f aca="false">COUNTIFS('CLEANED DATA'!$AO$2:$AO$1000,1,'CLEANED DATA'!$W$2:$W$1000,$T19,'CLEANED DATA'!$N$2:$N$1000,U$17)</f>
        <v>21</v>
      </c>
      <c r="V19" s="61" t="n">
        <f aca="false">COUNTIFS('CLEANED DATA'!$AO$2:$AO$1000,1,'CLEANED DATA'!$W$2:$W$1000,$T19,'CLEANED DATA'!$N$2:$N$1000,V$17)</f>
        <v>0</v>
      </c>
      <c r="W19" s="61" t="n">
        <f aca="false">COUNTIFS('CLEANED DATA'!$AO$2:$AO$1000,1,'CLEANED DATA'!$W$2:$W$1000,$T19,'CLEANED DATA'!$N$2:$N$1000,W$17)</f>
        <v>3</v>
      </c>
    </row>
    <row r="20" customFormat="false" ht="15" hidden="false" customHeight="false" outlineLevel="0" collapsed="false">
      <c r="T20" s="62" t="n">
        <v>46082</v>
      </c>
      <c r="U20" s="61" t="n">
        <f aca="false">COUNTIFS('CLEANED DATA'!$AO$2:$AO$1000,1,'CLEANED DATA'!$W$2:$W$1000,$T20,'CLEANED DATA'!$N$2:$N$1000,U$17)</f>
        <v>21</v>
      </c>
      <c r="V20" s="61" t="n">
        <f aca="false">COUNTIFS('CLEANED DATA'!$AO$2:$AO$1000,1,'CLEANED DATA'!$W$2:$W$1000,$T20,'CLEANED DATA'!$N$2:$N$1000,V$17)</f>
        <v>2</v>
      </c>
      <c r="W20" s="61" t="n">
        <f aca="false">COUNTIFS('CLEANED DATA'!$AO$2:$AO$1000,1,'CLEANED DATA'!$W$2:$W$1000,$T20,'CLEANED DATA'!$N$2:$N$1000,W$17)</f>
        <v>2</v>
      </c>
    </row>
    <row r="21" customFormat="false" ht="15" hidden="false" customHeight="false" outlineLevel="0" collapsed="false">
      <c r="T21" s="62" t="n">
        <v>46113</v>
      </c>
      <c r="U21" s="61" t="n">
        <f aca="false">COUNTIFS('CLEANED DATA'!$AO$2:$AO$1000,1,'CLEANED DATA'!$W$2:$W$1000,$T21,'CLEANED DATA'!$N$2:$N$1000,U$17)</f>
        <v>22</v>
      </c>
      <c r="V21" s="61" t="n">
        <f aca="false">COUNTIFS('CLEANED DATA'!$AO$2:$AO$1000,1,'CLEANED DATA'!$W$2:$W$1000,$T21,'CLEANED DATA'!$N$2:$N$1000,V$17)</f>
        <v>3</v>
      </c>
      <c r="W21" s="61" t="n">
        <f aca="false">COUNTIFS('CLEANED DATA'!$AO$2:$AO$1000,1,'CLEANED DATA'!$W$2:$W$1000,$T21,'CLEANED DATA'!$N$2:$N$1000,W$17)</f>
        <v>1</v>
      </c>
    </row>
    <row r="22" customFormat="false" ht="15" hidden="false" customHeight="false" outlineLevel="0" collapsed="false">
      <c r="T22" s="62" t="n">
        <v>46143</v>
      </c>
      <c r="U22" s="61" t="n">
        <f aca="false">COUNTIFS('CLEANED DATA'!$AO$2:$AO$1000,1,'CLEANED DATA'!$W$2:$W$1000,$T22,'CLEANED DATA'!$N$2:$N$1000,U$17)</f>
        <v>34</v>
      </c>
      <c r="V22" s="61" t="n">
        <f aca="false">COUNTIFS('CLEANED DATA'!$AO$2:$AO$1000,1,'CLEANED DATA'!$W$2:$W$1000,$T22,'CLEANED DATA'!$N$2:$N$1000,V$17)</f>
        <v>4</v>
      </c>
      <c r="W22" s="61" t="n">
        <f aca="false">COUNTIFS('CLEANED DATA'!$AO$2:$AO$1000,1,'CLEANED DATA'!$W$2:$W$1000,$T22,'CLEANED DATA'!$N$2:$N$1000,W$17)</f>
        <v>2</v>
      </c>
    </row>
    <row r="23" customFormat="false" ht="15" hidden="false" customHeight="false" outlineLevel="0" collapsed="false">
      <c r="T23" s="62" t="n">
        <v>46174</v>
      </c>
      <c r="U23" s="61" t="n">
        <f aca="false">COUNTIFS('CLEANED DATA'!$AO$2:$AO$1000,1,'CLEANED DATA'!$W$2:$W$1000,$T23,'CLEANED DATA'!$N$2:$N$1000,U$17)</f>
        <v>10</v>
      </c>
      <c r="V23" s="61" t="n">
        <f aca="false">COUNTIFS('CLEANED DATA'!$AO$2:$AO$1000,1,'CLEANED DATA'!$W$2:$W$1000,$T23,'CLEANED DATA'!$N$2:$N$1000,V$17)</f>
        <v>21</v>
      </c>
      <c r="W23" s="61" t="n">
        <f aca="false">COUNTIFS('CLEANED DATA'!$AO$2:$AO$1000,1,'CLEANED DATA'!$W$2:$W$1000,$T23,'CLEANED DATA'!$N$2:$N$1000,W$17)</f>
        <v>1</v>
      </c>
    </row>
    <row r="25" customFormat="false" ht="15" hidden="false" customHeight="false" outlineLevel="0" collapsed="false">
      <c r="T25" s="59" t="s">
        <v>1034</v>
      </c>
      <c r="U25" s="59" t="s">
        <v>1049</v>
      </c>
      <c r="V25" s="59" t="s">
        <v>1050</v>
      </c>
    </row>
    <row r="26" customFormat="false" ht="15" hidden="false" customHeight="false" outlineLevel="0" collapsed="false">
      <c r="T26" s="60" t="s">
        <v>1051</v>
      </c>
      <c r="U26" s="61" t="n">
        <f aca="false">COUNTIFS('CLEANED DATA'!$AO$2:$AO$1000,1,'CLEANED DATA'!$F$2:$F$1000,$X26,'CLEANED DATA'!$Z$2:$Z$1000,"&lt;=0")</f>
        <v>36</v>
      </c>
      <c r="V26" s="61" t="n">
        <f aca="false">COUNTIFS('CLEANED DATA'!$AO$2:$AO$1000,1,'CLEANED DATA'!$F$2:$F$1000,$X26,'CLEANED DATA'!$Z$2:$Z$1000,"&gt;0")</f>
        <v>4</v>
      </c>
      <c r="X26" s="60" t="s">
        <v>160</v>
      </c>
    </row>
    <row r="27" customFormat="false" ht="15" hidden="false" customHeight="false" outlineLevel="0" collapsed="false">
      <c r="T27" s="60" t="s">
        <v>1052</v>
      </c>
      <c r="U27" s="61" t="n">
        <f aca="false">COUNTIFS('CLEANED DATA'!$AO$2:$AO$1000,1,'CLEANED DATA'!$F$2:$F$1000,$X27,'CLEANED DATA'!$Z$2:$Z$1000,"&lt;=0")</f>
        <v>19</v>
      </c>
      <c r="V27" s="61" t="n">
        <f aca="false">COUNTIFS('CLEANED DATA'!$AO$2:$AO$1000,1,'CLEANED DATA'!$F$2:$F$1000,$X27,'CLEANED DATA'!$Z$2:$Z$1000,"&gt;0")</f>
        <v>15</v>
      </c>
      <c r="X27" s="60" t="s">
        <v>67</v>
      </c>
    </row>
    <row r="28" customFormat="false" ht="15" hidden="false" customHeight="false" outlineLevel="0" collapsed="false">
      <c r="T28" s="60" t="s">
        <v>1053</v>
      </c>
      <c r="U28" s="61" t="n">
        <f aca="false">COUNTIFS('CLEANED DATA'!$AO$2:$AO$1000,1,'CLEANED DATA'!$F$2:$F$1000,$X28,'CLEANED DATA'!$Z$2:$Z$1000,"&lt;=0")</f>
        <v>24</v>
      </c>
      <c r="V28" s="61" t="n">
        <f aca="false">COUNTIFS('CLEANED DATA'!$AO$2:$AO$1000,1,'CLEANED DATA'!$F$2:$F$1000,$X28,'CLEANED DATA'!$Z$2:$Z$1000,"&gt;0")</f>
        <v>5</v>
      </c>
      <c r="X28" s="60" t="s">
        <v>150</v>
      </c>
    </row>
    <row r="29" customFormat="false" ht="15" hidden="false" customHeight="false" outlineLevel="0" collapsed="false">
      <c r="T29" s="60" t="s">
        <v>1054</v>
      </c>
      <c r="U29" s="61" t="n">
        <f aca="false">COUNTIFS('CLEANED DATA'!$AO$2:$AO$1000,1,'CLEANED DATA'!$F$2:$F$1000,$X29,'CLEANED DATA'!$Z$2:$Z$1000,"&lt;=0")</f>
        <v>12</v>
      </c>
      <c r="V29" s="61" t="n">
        <f aca="false">COUNTIFS('CLEANED DATA'!$AO$2:$AO$1000,1,'CLEANED DATA'!$F$2:$F$1000,$X29,'CLEANED DATA'!$Z$2:$Z$1000,"&gt;0")</f>
        <v>5</v>
      </c>
      <c r="X29" s="60" t="s">
        <v>103</v>
      </c>
    </row>
    <row r="30" customFormat="false" ht="15" hidden="false" customHeight="false" outlineLevel="0" collapsed="false">
      <c r="T30" s="60" t="s">
        <v>1055</v>
      </c>
      <c r="U30" s="61" t="n">
        <f aca="false">COUNTIFS('CLEANED DATA'!$AO$2:$AO$1000,1,'CLEANED DATA'!$F$2:$F$1000,$X30,'CLEANED DATA'!$Z$2:$Z$1000,"&lt;=0")</f>
        <v>6</v>
      </c>
      <c r="V30" s="61" t="n">
        <f aca="false">COUNTIFS('CLEANED DATA'!$AO$2:$AO$1000,1,'CLEANED DATA'!$F$2:$F$1000,$X30,'CLEANED DATA'!$Z$2:$Z$1000,"&gt;0")</f>
        <v>8</v>
      </c>
      <c r="X30" s="60" t="s">
        <v>121</v>
      </c>
    </row>
    <row r="32" customFormat="false" ht="15" hidden="false" customHeight="false" outlineLevel="0" collapsed="false">
      <c r="T32" s="59" t="s">
        <v>1056</v>
      </c>
      <c r="U32" s="59" t="s">
        <v>988</v>
      </c>
    </row>
    <row r="33" customFormat="false" ht="15" hidden="false" customHeight="false" outlineLevel="0" collapsed="false">
      <c r="T33" s="60" t="s">
        <v>1057</v>
      </c>
      <c r="U33" s="61" t="n">
        <f aca="false">COUNTIFS('CLEANED DATA'!$AO$2:$AO$1000,1,'CLEANED DATA'!$AD$2:$AD$1000,"&lt;=0")</f>
        <v>71</v>
      </c>
    </row>
    <row r="34" customFormat="false" ht="15" hidden="false" customHeight="false" outlineLevel="0" collapsed="false">
      <c r="T34" s="60" t="s">
        <v>1058</v>
      </c>
      <c r="U34" s="61" t="n">
        <f aca="false">COUNTIFS('CLEANED DATA'!$AO$2:$AO$1000,1,'CLEANED DATA'!$AD$2:$AD$1000,"&gt;0")</f>
        <v>47</v>
      </c>
    </row>
    <row r="35" customFormat="false" ht="15" hidden="false" customHeight="false" outlineLevel="0" collapsed="false">
      <c r="T35" s="60" t="s">
        <v>1059</v>
      </c>
      <c r="U35" s="61" t="n">
        <f aca="false">COUNTIFS('CLEANED DATA'!$AO$2:$AO$1000,1,'CLEANED DATA'!$AC$2:$AC$1000,1)-COUNTIFS('CLEANED DATA'!$AO$2:$AO$1000,1,'CLEANED DATA'!$AD$2:$AD$1000,"&gt;-9999")</f>
        <v>3</v>
      </c>
    </row>
    <row r="36" customFormat="false" ht="15" hidden="false" customHeight="false" outlineLevel="0" collapsed="false">
      <c r="T36" s="60" t="s">
        <v>1060</v>
      </c>
      <c r="U36" s="61" t="n">
        <f aca="false">COUNTIFS('CLEANED DATA'!$AO$2:$AO$1000,1,'CLEANED DATA'!$AN$2:$AN$1000,"Installation")</f>
        <v>7</v>
      </c>
    </row>
    <row r="37" customFormat="false" ht="15" hidden="false" customHeight="false" outlineLevel="0" collapsed="false">
      <c r="T37" s="60" t="s">
        <v>1061</v>
      </c>
      <c r="U37" s="61" t="n">
        <f aca="false">COUNTIFS('CLEANED DATA'!$AO$2:$AO$1000,1,'CLEANED DATA'!$AK$2:$AK$1000,"Awaiting Installation")-COUNTIFS('CLEANED DATA'!$AO$2:$AO$1000,1,'CLEANED DATA'!$AN$2:$AN$1000,"Installation")</f>
        <v>7</v>
      </c>
    </row>
    <row r="38" customFormat="false" ht="15" hidden="false" customHeight="false" outlineLevel="0" collapsed="false">
      <c r="T38" s="60" t="s">
        <v>1062</v>
      </c>
      <c r="U38" s="61" t="n">
        <f aca="false">COUNTIFS('CLEANED DATA'!$AO$2:$AO$1000,1,'CLEANED DATA'!$AK$2:$AK$1000,"In Production")+COUNTIFS('CLEANED DATA'!$AO$2:$AO$1000,1,'CLEANED DATA'!$AK$2:$AK$1000,"In Transit")</f>
        <v>16</v>
      </c>
    </row>
    <row r="41" customFormat="false" ht="15" hidden="false" customHeight="false" outlineLevel="0" collapsed="false">
      <c r="T41" s="59" t="s">
        <v>1034</v>
      </c>
      <c r="U41" s="59" t="s">
        <v>990</v>
      </c>
      <c r="V41" s="59" t="s">
        <v>992</v>
      </c>
    </row>
    <row r="42" customFormat="false" ht="15" hidden="false" customHeight="false" outlineLevel="0" collapsed="false">
      <c r="T42" s="60" t="s">
        <v>1051</v>
      </c>
      <c r="U42" s="63" t="n">
        <f aca="false">IFERROR(COUNTIFS('CLEANED DATA'!$AO$2:$AO$1000,1,'CLEANED DATA'!$F$2:$F$1000,$X42,'CLEANED DATA'!$Z$2:$Z$1000,"&lt;=0")/COUNTIFS('CLEANED DATA'!$AO$2:$AO$1000,1,'CLEANED DATA'!$F$2:$F$1000,$X42,'CLEANED DATA'!$Z$2:$Z$1000,"&gt;-9999"),0)</f>
        <v>0.9</v>
      </c>
      <c r="V42" s="63" t="n">
        <f aca="false">IFERROR(COUNTIFS('CLEANED DATA'!$AO$2:$AO$1000,1,'CLEANED DATA'!$F$2:$F$1000,$X42,'CLEANED DATA'!$AD$2:$AD$1000,"&lt;=0")/COUNTIFS('CLEANED DATA'!$AO$2:$AO$1000,1,'CLEANED DATA'!$F$2:$F$1000,$X42,'CLEANED DATA'!$AD$2:$AD$1000,"&gt;-9999"),0)</f>
        <v>0.638888888888889</v>
      </c>
      <c r="X42" s="60" t="s">
        <v>160</v>
      </c>
    </row>
    <row r="43" customFormat="false" ht="15" hidden="false" customHeight="false" outlineLevel="0" collapsed="false">
      <c r="T43" s="60" t="s">
        <v>1052</v>
      </c>
      <c r="U43" s="63" t="n">
        <f aca="false">IFERROR(COUNTIFS('CLEANED DATA'!$AO$2:$AO$1000,1,'CLEANED DATA'!$F$2:$F$1000,$X43,'CLEANED DATA'!$Z$2:$Z$1000,"&lt;=0")/COUNTIFS('CLEANED DATA'!$AO$2:$AO$1000,1,'CLEANED DATA'!$F$2:$F$1000,$X43,'CLEANED DATA'!$Z$2:$Z$1000,"&gt;-9999"),0)</f>
        <v>0.558823529411765</v>
      </c>
      <c r="V43" s="63" t="n">
        <f aca="false">IFERROR(COUNTIFS('CLEANED DATA'!$AO$2:$AO$1000,1,'CLEANED DATA'!$F$2:$F$1000,$X43,'CLEANED DATA'!$AD$2:$AD$1000,"&lt;=0")/COUNTIFS('CLEANED DATA'!$AO$2:$AO$1000,1,'CLEANED DATA'!$F$2:$F$1000,$X43,'CLEANED DATA'!$AD$2:$AD$1000,"&gt;-9999"),0)</f>
        <v>0.517241379310345</v>
      </c>
      <c r="X43" s="60" t="s">
        <v>67</v>
      </c>
    </row>
    <row r="44" customFormat="false" ht="15" hidden="false" customHeight="false" outlineLevel="0" collapsed="false">
      <c r="T44" s="60" t="s">
        <v>1053</v>
      </c>
      <c r="U44" s="63" t="n">
        <f aca="false">IFERROR(COUNTIFS('CLEANED DATA'!$AO$2:$AO$1000,1,'CLEANED DATA'!$F$2:$F$1000,$X44,'CLEANED DATA'!$Z$2:$Z$1000,"&lt;=0")/COUNTIFS('CLEANED DATA'!$AO$2:$AO$1000,1,'CLEANED DATA'!$F$2:$F$1000,$X44,'CLEANED DATA'!$Z$2:$Z$1000,"&gt;-9999"),0)</f>
        <v>0.827586206896552</v>
      </c>
      <c r="V44" s="63" t="n">
        <f aca="false">IFERROR(COUNTIFS('CLEANED DATA'!$AO$2:$AO$1000,1,'CLEANED DATA'!$F$2:$F$1000,$X44,'CLEANED DATA'!$AD$2:$AD$1000,"&lt;=0")/COUNTIFS('CLEANED DATA'!$AO$2:$AO$1000,1,'CLEANED DATA'!$F$2:$F$1000,$X44,'CLEANED DATA'!$AD$2:$AD$1000,"&gt;-9999"),0)</f>
        <v>0.821428571428571</v>
      </c>
      <c r="X44" s="60" t="s">
        <v>150</v>
      </c>
    </row>
    <row r="45" customFormat="false" ht="15" hidden="false" customHeight="false" outlineLevel="0" collapsed="false">
      <c r="T45" s="60" t="s">
        <v>1054</v>
      </c>
      <c r="U45" s="63" t="n">
        <f aca="false">IFERROR(COUNTIFS('CLEANED DATA'!$AO$2:$AO$1000,1,'CLEANED DATA'!$F$2:$F$1000,$X45,'CLEANED DATA'!$Z$2:$Z$1000,"&lt;=0")/COUNTIFS('CLEANED DATA'!$AO$2:$AO$1000,1,'CLEANED DATA'!$F$2:$F$1000,$X45,'CLEANED DATA'!$Z$2:$Z$1000,"&gt;-9999"),0)</f>
        <v>0.705882352941177</v>
      </c>
      <c r="V45" s="63" t="n">
        <f aca="false">IFERROR(COUNTIFS('CLEANED DATA'!$AO$2:$AO$1000,1,'CLEANED DATA'!$F$2:$F$1000,$X45,'CLEANED DATA'!$AD$2:$AD$1000,"&lt;=0")/COUNTIFS('CLEANED DATA'!$AO$2:$AO$1000,1,'CLEANED DATA'!$F$2:$F$1000,$X45,'CLEANED DATA'!$AD$2:$AD$1000,"&gt;-9999"),0)</f>
        <v>0.384615384615385</v>
      </c>
      <c r="X45" s="60" t="s">
        <v>103</v>
      </c>
    </row>
    <row r="46" customFormat="false" ht="15" hidden="false" customHeight="false" outlineLevel="0" collapsed="false">
      <c r="T46" s="60" t="s">
        <v>1055</v>
      </c>
      <c r="U46" s="63" t="n">
        <f aca="false">IFERROR(COUNTIFS('CLEANED DATA'!$AO$2:$AO$1000,1,'CLEANED DATA'!$F$2:$F$1000,$X46,'CLEANED DATA'!$Z$2:$Z$1000,"&lt;=0")/COUNTIFS('CLEANED DATA'!$AO$2:$AO$1000,1,'CLEANED DATA'!$F$2:$F$1000,$X46,'CLEANED DATA'!$Z$2:$Z$1000,"&gt;-9999"),0)</f>
        <v>0.428571428571429</v>
      </c>
      <c r="V46" s="63" t="n">
        <f aca="false">IFERROR(COUNTIFS('CLEANED DATA'!$AO$2:$AO$1000,1,'CLEANED DATA'!$F$2:$F$1000,$X46,'CLEANED DATA'!$AD$2:$AD$1000,"&lt;=0")/COUNTIFS('CLEANED DATA'!$AO$2:$AO$1000,1,'CLEANED DATA'!$F$2:$F$1000,$X46,'CLEANED DATA'!$AD$2:$AD$1000,"&gt;-9999"),0)</f>
        <v>0.416666666666667</v>
      </c>
      <c r="X46" s="60" t="s">
        <v>121</v>
      </c>
    </row>
    <row r="49" customFormat="false" ht="15" hidden="false" customHeight="false" outlineLevel="0" collapsed="false">
      <c r="T49" s="59" t="s">
        <v>1016</v>
      </c>
      <c r="U49" s="59" t="s">
        <v>1063</v>
      </c>
    </row>
    <row r="50" customFormat="false" ht="15" hidden="false" customHeight="false" outlineLevel="0" collapsed="false">
      <c r="T50" s="60" t="s">
        <v>1064</v>
      </c>
      <c r="U50" s="64" t="n">
        <f aca="false">IFERROR(AVERAGEIFS('CLEANED DATA'!$AF$2:$AF$1000,'CLEANED DATA'!$AO$2:$AO$1000,1),0)</f>
        <v>13.1691176470588</v>
      </c>
    </row>
    <row r="51" customFormat="false" ht="15" hidden="false" customHeight="false" outlineLevel="0" collapsed="false">
      <c r="T51" s="60" t="s">
        <v>1065</v>
      </c>
      <c r="U51" s="64" t="n">
        <f aca="false">IFERROR(AVERAGEIFS('CLEANED DATA'!$AG$2:$AG$1000,'CLEANED DATA'!$AO$2:$AO$1000,1),0)</f>
        <v>3.09774436090226</v>
      </c>
    </row>
    <row r="52" customFormat="false" ht="15" hidden="false" customHeight="false" outlineLevel="0" collapsed="false">
      <c r="T52" s="60" t="s">
        <v>1066</v>
      </c>
      <c r="U52" s="64" t="n">
        <f aca="false">IFERROR(AVERAGEIFS('CLEANED DATA'!$AH$2:$AH$1000,'CLEANED DATA'!$AO$2:$AO$1000,1),0)</f>
        <v>6.73504273504274</v>
      </c>
    </row>
    <row r="57" customFormat="false" ht="15" hidden="false" customHeight="false" outlineLevel="0" collapsed="false">
      <c r="B57" s="65" t="s">
        <v>1067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</row>
    <row r="58" customFormat="false" ht="22.35" hidden="false" customHeight="true" outlineLevel="0" collapsed="false">
      <c r="B58" s="66" t="s">
        <v>44</v>
      </c>
      <c r="C58" s="66"/>
      <c r="D58" s="66" t="s">
        <v>1068</v>
      </c>
      <c r="E58" s="66"/>
      <c r="F58" s="66"/>
      <c r="G58" s="66" t="s">
        <v>1069</v>
      </c>
      <c r="H58" s="66"/>
      <c r="I58" s="66" t="s">
        <v>48</v>
      </c>
      <c r="J58" s="66"/>
      <c r="K58" s="66" t="s">
        <v>1070</v>
      </c>
      <c r="L58" s="66"/>
      <c r="M58" s="67" t="s">
        <v>1071</v>
      </c>
      <c r="N58" s="66" t="s">
        <v>1072</v>
      </c>
      <c r="O58" s="66"/>
      <c r="P58" s="66"/>
      <c r="Q58" s="66"/>
    </row>
    <row r="59" customFormat="false" ht="15" hidden="false" customHeight="false" outlineLevel="0" collapsed="false">
      <c r="B59" s="68" t="str">
        <f aca="false">IF($S59="","",INDEX('CLEANED DATA'!$A$2:$A$1000,$S59))</f>
        <v>NHP-0059</v>
      </c>
      <c r="C59" s="68"/>
      <c r="D59" s="69" t="str">
        <f aca="false">IF($S59="","",INDEX('CLEANED DATA'!$F$2:$F$1000,$S59))</f>
        <v>Heat Pump Water Heater</v>
      </c>
      <c r="E59" s="69"/>
      <c r="F59" s="69"/>
      <c r="G59" s="69" t="str">
        <f aca="false">IF($S59="","",INDEX('CLEANED DATA'!$D$2:$D$1000,$S59))</f>
        <v>Residential</v>
      </c>
      <c r="H59" s="69"/>
      <c r="I59" s="69" t="str">
        <f aca="false">IF($S59="","",INDEX('CLEANED DATA'!$E$2:$E$1000,$S59))</f>
        <v>Bengaluru</v>
      </c>
      <c r="J59" s="69"/>
      <c r="K59" s="69" t="str">
        <f aca="false">IF($S59="","",INDEX('CLEANED DATA'!$AN$2:$AN$1000,$S59))</f>
        <v>Installation</v>
      </c>
      <c r="L59" s="69"/>
      <c r="M59" s="70" t="n">
        <f aca="false">IF($S59="","",INDEX('CLEANED DATA'!$AM$2:$AM$1000,$S59))</f>
        <v>81</v>
      </c>
      <c r="N59" s="69" t="str">
        <f aca="false">IF($S59="","",IF(INDEX('CLEANED DATA'!$AN$2:$AN$1000,$S59)="Installation",IF(INDEX('CLEANED DATA'!$P$2:$P$1000,$S59)="","(not recorded)",INDEX('CLEANED DATA'!$P$2:$P$1000,$S59)),IF(INDEX('CLEANED DATA'!$O$2:$O$1000,$S59)="","(not recorded)",INDEX('CLEANED DATA'!$O$2:$O$1000,$S59))))</f>
        <v>Customer site not ready</v>
      </c>
      <c r="O59" s="69"/>
      <c r="P59" s="69"/>
      <c r="Q59" s="69"/>
      <c r="S59" s="71" t="n">
        <f aca="false">IF(LARGE('CLEANED DATA'!$AP$2:$AP$1000,1)&gt;0,MATCH(LARGE('CLEANED DATA'!$AP$2:$AP$1000,1),'CLEANED DATA'!$AP$2:$AP$1000,0),"")</f>
        <v>59</v>
      </c>
    </row>
    <row r="60" customFormat="false" ht="15" hidden="false" customHeight="false" outlineLevel="0" collapsed="false">
      <c r="B60" s="68" t="str">
        <f aca="false">IF($S60="","",INDEX('CLEANED DATA'!$A$2:$A$1000,$S60))</f>
        <v>NHP-0069</v>
      </c>
      <c r="C60" s="68"/>
      <c r="D60" s="69" t="str">
        <f aca="false">IF($S60="","",INDEX('CLEANED DATA'!$F$2:$F$1000,$S60))</f>
        <v>Heat Pump Water Heater</v>
      </c>
      <c r="E60" s="69"/>
      <c r="F60" s="69"/>
      <c r="G60" s="69" t="str">
        <f aca="false">IF($S60="","",INDEX('CLEANED DATA'!$D$2:$D$1000,$S60))</f>
        <v>Residential</v>
      </c>
      <c r="H60" s="69"/>
      <c r="I60" s="69" t="str">
        <f aca="false">IF($S60="","",INDEX('CLEANED DATA'!$E$2:$E$1000,$S60))</f>
        <v>Other States</v>
      </c>
      <c r="J60" s="69"/>
      <c r="K60" s="69" t="str">
        <f aca="false">IF($S60="","",INDEX('CLEANED DATA'!$AN$2:$AN$1000,$S60))</f>
        <v>Installation</v>
      </c>
      <c r="L60" s="69"/>
      <c r="M60" s="70" t="n">
        <f aca="false">IF($S60="","",INDEX('CLEANED DATA'!$AM$2:$AM$1000,$S60))</f>
        <v>66</v>
      </c>
      <c r="N60" s="69" t="str">
        <f aca="false">IF($S60="","",IF(INDEX('CLEANED DATA'!$AN$2:$AN$1000,$S60)="Installation",IF(INDEX('CLEANED DATA'!$P$2:$P$1000,$S60)="","(not recorded)",INDEX('CLEANED DATA'!$P$2:$P$1000,$S60)),IF(INDEX('CLEANED DATA'!$O$2:$O$1000,$S60)="","(not recorded)",INDEX('CLEANED DATA'!$O$2:$O$1000,$S60))))</f>
        <v>Customer site not ready</v>
      </c>
      <c r="O60" s="69"/>
      <c r="P60" s="69"/>
      <c r="Q60" s="69"/>
      <c r="S60" s="71" t="n">
        <f aca="false">IF(LARGE('CLEANED DATA'!$AP$2:$AP$1000,2)&gt;0,MATCH(LARGE('CLEANED DATA'!$AP$2:$AP$1000,2),'CLEANED DATA'!$AP$2:$AP$1000,0),"")</f>
        <v>69</v>
      </c>
    </row>
    <row r="61" customFormat="false" ht="15" hidden="false" customHeight="false" outlineLevel="0" collapsed="false">
      <c r="B61" s="68" t="str">
        <f aca="false">IF($S61="","",INDEX('CLEANED DATA'!$A$2:$A$1000,$S61))</f>
        <v>NHP-0050</v>
      </c>
      <c r="C61" s="68"/>
      <c r="D61" s="69" t="str">
        <f aca="false">IF($S61="","",INDEX('CLEANED DATA'!$F$2:$F$1000,$S61))</f>
        <v>Custom Requirement</v>
      </c>
      <c r="E61" s="69"/>
      <c r="F61" s="69"/>
      <c r="G61" s="69" t="str">
        <f aca="false">IF($S61="","",INDEX('CLEANED DATA'!$D$2:$D$1000,$S61))</f>
        <v>Institutional</v>
      </c>
      <c r="H61" s="69"/>
      <c r="I61" s="69" t="str">
        <f aca="false">IF($S61="","",INDEX('CLEANED DATA'!$E$2:$E$1000,$S61))</f>
        <v>Other States</v>
      </c>
      <c r="J61" s="69"/>
      <c r="K61" s="69" t="str">
        <f aca="false">IF($S61="","",INDEX('CLEANED DATA'!$AN$2:$AN$1000,$S61))</f>
        <v>Installation</v>
      </c>
      <c r="L61" s="69"/>
      <c r="M61" s="70" t="n">
        <f aca="false">IF($S61="","",INDEX('CLEANED DATA'!$AM$2:$AM$1000,$S61))</f>
        <v>64</v>
      </c>
      <c r="N61" s="69" t="str">
        <f aca="false">IF($S61="","",IF(INDEX('CLEANED DATA'!$AN$2:$AN$1000,$S61)="Installation",IF(INDEX('CLEANED DATA'!$P$2:$P$1000,$S61)="","(not recorded)",INDEX('CLEANED DATA'!$P$2:$P$1000,$S61)),IF(INDEX('CLEANED DATA'!$O$2:$O$1000,$S61)="","(not recorded)",INDEX('CLEANED DATA'!$O$2:$O$1000,$S61))))</f>
        <v>(not recorded)</v>
      </c>
      <c r="O61" s="69"/>
      <c r="P61" s="69"/>
      <c r="Q61" s="69"/>
      <c r="S61" s="71" t="n">
        <f aca="false">IF(LARGE('CLEANED DATA'!$AP$2:$AP$1000,3)&gt;0,MATCH(LARGE('CLEANED DATA'!$AP$2:$AP$1000,3),'CLEANED DATA'!$AP$2:$AP$1000,0),"")</f>
        <v>50</v>
      </c>
    </row>
    <row r="62" customFormat="false" ht="15" hidden="false" customHeight="false" outlineLevel="0" collapsed="false">
      <c r="B62" s="68" t="str">
        <f aca="false">IF($S62="","",INDEX('CLEANED DATA'!$A$2:$A$1000,$S62))</f>
        <v>NHP-0076</v>
      </c>
      <c r="C62" s="68"/>
      <c r="D62" s="69" t="str">
        <f aca="false">IF($S62="","",INDEX('CLEANED DATA'!$F$2:$F$1000,$S62))</f>
        <v>Commercial Heat Pump</v>
      </c>
      <c r="E62" s="69"/>
      <c r="F62" s="69"/>
      <c r="G62" s="69" t="str">
        <f aca="false">IF($S62="","",INDEX('CLEANED DATA'!$D$2:$D$1000,$S62))</f>
        <v>Commercial</v>
      </c>
      <c r="H62" s="69"/>
      <c r="I62" s="69" t="str">
        <f aca="false">IF($S62="","",INDEX('CLEANED DATA'!$E$2:$E$1000,$S62))</f>
        <v>Other States</v>
      </c>
      <c r="J62" s="69"/>
      <c r="K62" s="69" t="str">
        <f aca="false">IF($S62="","",INDEX('CLEANED DATA'!$AN$2:$AN$1000,$S62))</f>
        <v>Installation</v>
      </c>
      <c r="L62" s="69"/>
      <c r="M62" s="70" t="n">
        <f aca="false">IF($S62="","",INDEX('CLEANED DATA'!$AM$2:$AM$1000,$S62))</f>
        <v>44</v>
      </c>
      <c r="N62" s="69" t="str">
        <f aca="false">IF($S62="","",IF(INDEX('CLEANED DATA'!$AN$2:$AN$1000,$S62)="Installation",IF(INDEX('CLEANED DATA'!$P$2:$P$1000,$S62)="","(not recorded)",INDEX('CLEANED DATA'!$P$2:$P$1000,$S62)),IF(INDEX('CLEANED DATA'!$O$2:$O$1000,$S62)="","(not recorded)",INDEX('CLEANED DATA'!$O$2:$O$1000,$S62))))</f>
        <v>Customer site not ready</v>
      </c>
      <c r="O62" s="69"/>
      <c r="P62" s="69"/>
      <c r="Q62" s="69"/>
      <c r="S62" s="71" t="n">
        <f aca="false">IF(LARGE('CLEANED DATA'!$AP$2:$AP$1000,4)&gt;0,MATCH(LARGE('CLEANED DATA'!$AP$2:$AP$1000,4),'CLEANED DATA'!$AP$2:$AP$1000,0),"")</f>
        <v>76</v>
      </c>
    </row>
    <row r="63" customFormat="false" ht="15" hidden="false" customHeight="false" outlineLevel="0" collapsed="false">
      <c r="B63" s="68" t="str">
        <f aca="false">IF($S63="","",INDEX('CLEANED DATA'!$A$2:$A$1000,$S63))</f>
        <v>NHP-0085</v>
      </c>
      <c r="C63" s="68"/>
      <c r="D63" s="69" t="str">
        <f aca="false">IF($S63="","",INDEX('CLEANED DATA'!$F$2:$F$1000,$S63))</f>
        <v>Commercial Heat Pump</v>
      </c>
      <c r="E63" s="69"/>
      <c r="F63" s="69"/>
      <c r="G63" s="69" t="str">
        <f aca="false">IF($S63="","",INDEX('CLEANED DATA'!$D$2:$D$1000,$S63))</f>
        <v>Commercial</v>
      </c>
      <c r="H63" s="69"/>
      <c r="I63" s="69" t="str">
        <f aca="false">IF($S63="","",INDEX('CLEANED DATA'!$E$2:$E$1000,$S63))</f>
        <v>Bengaluru</v>
      </c>
      <c r="J63" s="69"/>
      <c r="K63" s="69" t="str">
        <f aca="false">IF($S63="","",INDEX('CLEANED DATA'!$AN$2:$AN$1000,$S63))</f>
        <v>Installation</v>
      </c>
      <c r="L63" s="69"/>
      <c r="M63" s="70" t="n">
        <f aca="false">IF($S63="","",INDEX('CLEANED DATA'!$AM$2:$AM$1000,$S63))</f>
        <v>41</v>
      </c>
      <c r="N63" s="69" t="str">
        <f aca="false">IF($S63="","",IF(INDEX('CLEANED DATA'!$AN$2:$AN$1000,$S63)="Installation",IF(INDEX('CLEANED DATA'!$P$2:$P$1000,$S63)="","(not recorded)",INDEX('CLEANED DATA'!$P$2:$P$1000,$S63)),IF(INDEX('CLEANED DATA'!$O$2:$O$1000,$S63)="","(not recorded)",INDEX('CLEANED DATA'!$O$2:$O$1000,$S63))))</f>
        <v>(not recorded)</v>
      </c>
      <c r="O63" s="69"/>
      <c r="P63" s="69"/>
      <c r="Q63" s="69"/>
      <c r="S63" s="71" t="n">
        <f aca="false">IF(LARGE('CLEANED DATA'!$AP$2:$AP$1000,5)&gt;0,MATCH(LARGE('CLEANED DATA'!$AP$2:$AP$1000,5),'CLEANED DATA'!$AP$2:$AP$1000,0),"")</f>
        <v>85</v>
      </c>
    </row>
    <row r="64" customFormat="false" ht="15" hidden="false" customHeight="false" outlineLevel="0" collapsed="false">
      <c r="B64" s="68" t="str">
        <f aca="false">IF($S64="","",INDEX('CLEANED DATA'!$A$2:$A$1000,$S64))</f>
        <v>NHP-0102</v>
      </c>
      <c r="C64" s="68"/>
      <c r="D64" s="69" t="str">
        <f aca="false">IF($S64="","",INDEX('CLEANED DATA'!$F$2:$F$1000,$S64))</f>
        <v>Heat Pump Dryer</v>
      </c>
      <c r="E64" s="69"/>
      <c r="F64" s="69"/>
      <c r="G64" s="69" t="str">
        <f aca="false">IF($S64="","",INDEX('CLEANED DATA'!$D$2:$D$1000,$S64))</f>
        <v>Commercial</v>
      </c>
      <c r="H64" s="69"/>
      <c r="I64" s="69" t="str">
        <f aca="false">IF($S64="","",INDEX('CLEANED DATA'!$E$2:$E$1000,$S64))</f>
        <v>Bengaluru</v>
      </c>
      <c r="J64" s="69"/>
      <c r="K64" s="69" t="str">
        <f aca="false">IF($S64="","",INDEX('CLEANED DATA'!$AN$2:$AN$1000,$S64))</f>
        <v>Installation</v>
      </c>
      <c r="L64" s="69"/>
      <c r="M64" s="70" t="n">
        <f aca="false">IF($S64="","",INDEX('CLEANED DATA'!$AM$2:$AM$1000,$S64))</f>
        <v>22</v>
      </c>
      <c r="N64" s="69" t="str">
        <f aca="false">IF($S64="","",IF(INDEX('CLEANED DATA'!$AN$2:$AN$1000,$S64)="Installation",IF(INDEX('CLEANED DATA'!$P$2:$P$1000,$S64)="","(not recorded)",INDEX('CLEANED DATA'!$P$2:$P$1000,$S64)),IF(INDEX('CLEANED DATA'!$O$2:$O$1000,$S64)="","(not recorded)",INDEX('CLEANED DATA'!$O$2:$O$1000,$S64))))</f>
        <v>(not recorded)</v>
      </c>
      <c r="O64" s="69"/>
      <c r="P64" s="69"/>
      <c r="Q64" s="69"/>
      <c r="S64" s="71" t="n">
        <f aca="false">IF(LARGE('CLEANED DATA'!$AP$2:$AP$1000,6)&gt;0,MATCH(LARGE('CLEANED DATA'!$AP$2:$AP$1000,6),'CLEANED DATA'!$AP$2:$AP$1000,0),"")</f>
        <v>102</v>
      </c>
    </row>
    <row r="65" customFormat="false" ht="15" hidden="false" customHeight="false" outlineLevel="0" collapsed="false">
      <c r="B65" s="68" t="str">
        <f aca="false">IF($S65="","",INDEX('CLEANED DATA'!$A$2:$A$1000,$S65))</f>
        <v>NHP-0100</v>
      </c>
      <c r="C65" s="68"/>
      <c r="D65" s="69" t="str">
        <f aca="false">IF($S65="","",INDEX('CLEANED DATA'!$F$2:$F$1000,$S65))</f>
        <v>Custom Requirement</v>
      </c>
      <c r="E65" s="69"/>
      <c r="F65" s="69"/>
      <c r="G65" s="69" t="str">
        <f aca="false">IF($S65="","",INDEX('CLEANED DATA'!$D$2:$D$1000,$S65))</f>
        <v>Commercial</v>
      </c>
      <c r="H65" s="69"/>
      <c r="I65" s="69" t="str">
        <f aca="false">IF($S65="","",INDEX('CLEANED DATA'!$E$2:$E$1000,$S65))</f>
        <v>Other States</v>
      </c>
      <c r="J65" s="69"/>
      <c r="K65" s="69" t="str">
        <f aca="false">IF($S65="","",INDEX('CLEANED DATA'!$AN$2:$AN$1000,$S65))</f>
        <v>Delivery</v>
      </c>
      <c r="L65" s="69"/>
      <c r="M65" s="70" t="n">
        <f aca="false">IF($S65="","",INDEX('CLEANED DATA'!$AM$2:$AM$1000,$S65))</f>
        <v>14</v>
      </c>
      <c r="N65" s="69" t="str">
        <f aca="false">IF($S65="","",IF(INDEX('CLEANED DATA'!$AN$2:$AN$1000,$S65)="Installation",IF(INDEX('CLEANED DATA'!$P$2:$P$1000,$S65)="","(not recorded)",INDEX('CLEANED DATA'!$P$2:$P$1000,$S65)),IF(INDEX('CLEANED DATA'!$O$2:$O$1000,$S65)="","(not recorded)",INDEX('CLEANED DATA'!$O$2:$O$1000,$S65))))</f>
        <v>Transport scheduling</v>
      </c>
      <c r="O65" s="69"/>
      <c r="P65" s="69"/>
      <c r="Q65" s="69"/>
      <c r="S65" s="71" t="n">
        <f aca="false">IF(LARGE('CLEANED DATA'!$AP$2:$AP$1000,7)&gt;0,MATCH(LARGE('CLEANED DATA'!$AP$2:$AP$1000,7),'CLEANED DATA'!$AP$2:$AP$1000,0),"")</f>
        <v>100</v>
      </c>
    </row>
    <row r="66" customFormat="false" ht="15" hidden="false" customHeight="false" outlineLevel="0" collapsed="false">
      <c r="B66" s="68" t="str">
        <f aca="false">IF($S66="","",INDEX('CLEANED DATA'!$A$2:$A$1000,$S66))</f>
        <v>NHP-0095</v>
      </c>
      <c r="C66" s="68"/>
      <c r="D66" s="69" t="str">
        <f aca="false">IF($S66="","",INDEX('CLEANED DATA'!$F$2:$F$1000,$S66))</f>
        <v>Custom Requirement</v>
      </c>
      <c r="E66" s="69"/>
      <c r="F66" s="69"/>
      <c r="G66" s="69" t="str">
        <f aca="false">IF($S66="","",INDEX('CLEANED DATA'!$D$2:$D$1000,$S66))</f>
        <v>Institutional</v>
      </c>
      <c r="H66" s="69"/>
      <c r="I66" s="69" t="str">
        <f aca="false">IF($S66="","",INDEX('CLEANED DATA'!$E$2:$E$1000,$S66))</f>
        <v>Rest of Karnataka</v>
      </c>
      <c r="J66" s="69"/>
      <c r="K66" s="69" t="str">
        <f aca="false">IF($S66="","",INDEX('CLEANED DATA'!$AN$2:$AN$1000,$S66))</f>
        <v>Installation</v>
      </c>
      <c r="L66" s="69"/>
      <c r="M66" s="70" t="n">
        <f aca="false">IF($S66="","",INDEX('CLEANED DATA'!$AM$2:$AM$1000,$S66))</f>
        <v>14</v>
      </c>
      <c r="N66" s="69" t="str">
        <f aca="false">IF($S66="","",IF(INDEX('CLEANED DATA'!$AN$2:$AN$1000,$S66)="Installation",IF(INDEX('CLEANED DATA'!$P$2:$P$1000,$S66)="","(not recorded)",INDEX('CLEANED DATA'!$P$2:$P$1000,$S66)),IF(INDEX('CLEANED DATA'!$O$2:$O$1000,$S66)="","(not recorded)",INDEX('CLEANED DATA'!$O$2:$O$1000,$S66))))</f>
        <v>Customer site not ready</v>
      </c>
      <c r="O66" s="69"/>
      <c r="P66" s="69"/>
      <c r="Q66" s="69"/>
      <c r="S66" s="71" t="n">
        <f aca="false">IF(LARGE('CLEANED DATA'!$AP$2:$AP$1000,8)&gt;0,MATCH(LARGE('CLEANED DATA'!$AP$2:$AP$1000,8),'CLEANED DATA'!$AP$2:$AP$1000,0),"")</f>
        <v>95</v>
      </c>
    </row>
    <row r="67" customFormat="false" ht="15" hidden="false" customHeight="false" outlineLevel="0" collapsed="false">
      <c r="B67" s="68" t="str">
        <f aca="false">IF($S67="","",INDEX('CLEANED DATA'!$A$2:$A$1000,$S67))</f>
        <v>NHP-0124</v>
      </c>
      <c r="C67" s="68"/>
      <c r="D67" s="69" t="str">
        <f aca="false">IF($S67="","",INDEX('CLEANED DATA'!$F$2:$F$1000,$S67))</f>
        <v>Custom Requirement</v>
      </c>
      <c r="E67" s="69"/>
      <c r="F67" s="69"/>
      <c r="G67" s="69" t="str">
        <f aca="false">IF($S67="","",INDEX('CLEANED DATA'!$D$2:$D$1000,$S67))</f>
        <v>Commercial</v>
      </c>
      <c r="H67" s="69"/>
      <c r="I67" s="69" t="str">
        <f aca="false">IF($S67="","",INDEX('CLEANED DATA'!$E$2:$E$1000,$S67))</f>
        <v>Other States</v>
      </c>
      <c r="J67" s="69"/>
      <c r="K67" s="69" t="str">
        <f aca="false">IF($S67="","",INDEX('CLEANED DATA'!$AN$2:$AN$1000,$S67))</f>
        <v>Delivery</v>
      </c>
      <c r="L67" s="69"/>
      <c r="M67" s="70" t="n">
        <f aca="false">IF($S67="","",INDEX('CLEANED DATA'!$AM$2:$AM$1000,$S67))</f>
        <v>1</v>
      </c>
      <c r="N67" s="69" t="str">
        <f aca="false">IF($S67="","",IF(INDEX('CLEANED DATA'!$AN$2:$AN$1000,$S67)="Installation",IF(INDEX('CLEANED DATA'!$P$2:$P$1000,$S67)="","(not recorded)",INDEX('CLEANED DATA'!$P$2:$P$1000,$S67)),IF(INDEX('CLEANED DATA'!$O$2:$O$1000,$S67)="","(not recorded)",INDEX('CLEANED DATA'!$O$2:$O$1000,$S67))))</f>
        <v>Component shortage</v>
      </c>
      <c r="O67" s="69"/>
      <c r="P67" s="69"/>
      <c r="Q67" s="69"/>
      <c r="S67" s="71" t="n">
        <f aca="false">IF(LARGE('CLEANED DATA'!$AP$2:$AP$1000,9)&gt;0,MATCH(LARGE('CLEANED DATA'!$AP$2:$AP$1000,9),'CLEANED DATA'!$AP$2:$AP$1000,0),"")</f>
        <v>124</v>
      </c>
    </row>
    <row r="68" customFormat="false" ht="15" hidden="false" customHeight="false" outlineLevel="0" collapsed="false">
      <c r="B68" s="68" t="str">
        <f aca="false">IF($S68="","",INDEX('CLEANED DATA'!$A$2:$A$1000,$S68))</f>
        <v/>
      </c>
      <c r="C68" s="68"/>
      <c r="D68" s="69" t="str">
        <f aca="false">IF($S68="","",INDEX('CLEANED DATA'!$F$2:$F$1000,$S68))</f>
        <v/>
      </c>
      <c r="E68" s="69"/>
      <c r="F68" s="69"/>
      <c r="G68" s="69" t="str">
        <f aca="false">IF($S68="","",INDEX('CLEANED DATA'!$D$2:$D$1000,$S68))</f>
        <v/>
      </c>
      <c r="H68" s="69"/>
      <c r="I68" s="69" t="str">
        <f aca="false">IF($S68="","",INDEX('CLEANED DATA'!$E$2:$E$1000,$S68))</f>
        <v/>
      </c>
      <c r="J68" s="69"/>
      <c r="K68" s="69" t="str">
        <f aca="false">IF($S68="","",INDEX('CLEANED DATA'!$AN$2:$AN$1000,$S68))</f>
        <v/>
      </c>
      <c r="L68" s="69"/>
      <c r="M68" s="70" t="str">
        <f aca="false">IF($S68="","",INDEX('CLEANED DATA'!$AM$2:$AM$1000,$S68))</f>
        <v/>
      </c>
      <c r="N68" s="69" t="str">
        <f aca="false">IF($S68="","",IF(INDEX('CLEANED DATA'!$AN$2:$AN$1000,$S68)="Installation",IF(INDEX('CLEANED DATA'!$P$2:$P$1000,$S68)="","(not recorded)",INDEX('CLEANED DATA'!$P$2:$P$1000,$S68)),IF(INDEX('CLEANED DATA'!$O$2:$O$1000,$S68)="","(not recorded)",INDEX('CLEANED DATA'!$O$2:$O$1000,$S68))))</f>
        <v/>
      </c>
      <c r="O68" s="69"/>
      <c r="P68" s="69"/>
      <c r="Q68" s="69"/>
      <c r="S68" s="71" t="str">
        <f aca="false">IF(LARGE('CLEANED DATA'!$AP$2:$AP$1000,10)&gt;0,MATCH(LARGE('CLEANED DATA'!$AP$2:$AP$1000,10),'CLEANED DATA'!$AP$2:$AP$1000,0),"")</f>
        <v/>
      </c>
    </row>
    <row r="69" customFormat="false" ht="15" hidden="false" customHeight="false" outlineLevel="0" collapsed="false">
      <c r="B69" s="52" t="str">
        <f aca="false">IF(SUM('CLEANED DATA'!$AP$2:$AP$1000)=0,"No overdue orders for this filter selection.","Showing up to 10 overdue orders. Full list: filter CLEANED DATA column Overdue = 1.")</f>
        <v>Showing up to 10 overdue orders. Full list: filter CLEANED DATA column Overdue = 1.</v>
      </c>
    </row>
    <row r="71" customFormat="false" ht="15" hidden="false" customHeight="false" outlineLevel="0" collapsed="false">
      <c r="B71" s="52" t="s">
        <v>1073</v>
      </c>
    </row>
  </sheetData>
  <mergeCells count="96">
    <mergeCell ref="B1:Q1"/>
    <mergeCell ref="B2:Q2"/>
    <mergeCell ref="C4:E4"/>
    <mergeCell ref="H4:J4"/>
    <mergeCell ref="M4:O4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B9:C9"/>
    <mergeCell ref="D9:E9"/>
    <mergeCell ref="F9:G9"/>
    <mergeCell ref="H9:I9"/>
    <mergeCell ref="J9:K9"/>
    <mergeCell ref="L9:M9"/>
    <mergeCell ref="N9:O9"/>
    <mergeCell ref="P9:Q9"/>
    <mergeCell ref="B57:Q57"/>
    <mergeCell ref="B58:C58"/>
    <mergeCell ref="D58:F58"/>
    <mergeCell ref="G58:H58"/>
    <mergeCell ref="I58:J58"/>
    <mergeCell ref="K58:L58"/>
    <mergeCell ref="N58:Q58"/>
    <mergeCell ref="B59:C59"/>
    <mergeCell ref="D59:F59"/>
    <mergeCell ref="G59:H59"/>
    <mergeCell ref="I59:J59"/>
    <mergeCell ref="K59:L59"/>
    <mergeCell ref="N59:Q59"/>
    <mergeCell ref="B60:C60"/>
    <mergeCell ref="D60:F60"/>
    <mergeCell ref="G60:H60"/>
    <mergeCell ref="I60:J60"/>
    <mergeCell ref="K60:L60"/>
    <mergeCell ref="N60:Q60"/>
    <mergeCell ref="B61:C61"/>
    <mergeCell ref="D61:F61"/>
    <mergeCell ref="G61:H61"/>
    <mergeCell ref="I61:J61"/>
    <mergeCell ref="K61:L61"/>
    <mergeCell ref="N61:Q61"/>
    <mergeCell ref="B62:C62"/>
    <mergeCell ref="D62:F62"/>
    <mergeCell ref="G62:H62"/>
    <mergeCell ref="I62:J62"/>
    <mergeCell ref="K62:L62"/>
    <mergeCell ref="N62:Q62"/>
    <mergeCell ref="B63:C63"/>
    <mergeCell ref="D63:F63"/>
    <mergeCell ref="G63:H63"/>
    <mergeCell ref="I63:J63"/>
    <mergeCell ref="K63:L63"/>
    <mergeCell ref="N63:Q63"/>
    <mergeCell ref="B64:C64"/>
    <mergeCell ref="D64:F64"/>
    <mergeCell ref="G64:H64"/>
    <mergeCell ref="I64:J64"/>
    <mergeCell ref="K64:L64"/>
    <mergeCell ref="N64:Q64"/>
    <mergeCell ref="B65:C65"/>
    <mergeCell ref="D65:F65"/>
    <mergeCell ref="G65:H65"/>
    <mergeCell ref="I65:J65"/>
    <mergeCell ref="K65:L65"/>
    <mergeCell ref="N65:Q65"/>
    <mergeCell ref="B66:C66"/>
    <mergeCell ref="D66:F66"/>
    <mergeCell ref="G66:H66"/>
    <mergeCell ref="I66:J66"/>
    <mergeCell ref="K66:L66"/>
    <mergeCell ref="N66:Q66"/>
    <mergeCell ref="B67:C67"/>
    <mergeCell ref="D67:F67"/>
    <mergeCell ref="G67:H67"/>
    <mergeCell ref="I67:J67"/>
    <mergeCell ref="K67:L67"/>
    <mergeCell ref="N67:Q67"/>
    <mergeCell ref="B68:C68"/>
    <mergeCell ref="D68:F68"/>
    <mergeCell ref="G68:H68"/>
    <mergeCell ref="I68:J68"/>
    <mergeCell ref="K68:L68"/>
    <mergeCell ref="N68:Q68"/>
  </mergeCells>
  <dataValidations count="3">
    <dataValidation allowBlank="false" errorStyle="stop" operator="between" showDropDown="false" showErrorMessage="false" showInputMessage="false" sqref="C4" type="list">
      <formula1>LISTS!$A$2:$A$7</formula1>
      <formula2>0</formula2>
    </dataValidation>
    <dataValidation allowBlank="false" errorStyle="stop" operator="between" showDropDown="false" showErrorMessage="false" showInputMessage="false" sqref="H4" type="list">
      <formula1>LISTS!$B$2:$B$5</formula1>
      <formula2>0</formula2>
    </dataValidation>
    <dataValidation allowBlank="false" errorStyle="stop" operator="between" showDropDown="false" showErrorMessage="false" showInputMessage="false" sqref="M4" type="list">
      <formula1>LISTS!$C$2:$C$5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8" t="s">
        <v>1074</v>
      </c>
    </row>
    <row r="2" customFormat="false" ht="15" hidden="false" customHeight="false" outlineLevel="0" collapsed="false">
      <c r="A2" s="9" t="s">
        <v>1075</v>
      </c>
    </row>
    <row r="4" customFormat="false" ht="23.85" hidden="false" customHeight="false" outlineLevel="0" collapsed="false">
      <c r="A4" s="11" t="s">
        <v>759</v>
      </c>
      <c r="B4" s="11" t="s">
        <v>1076</v>
      </c>
      <c r="C4" s="11" t="s">
        <v>1077</v>
      </c>
      <c r="D4" s="11" t="s">
        <v>1078</v>
      </c>
      <c r="E4" s="11" t="s">
        <v>1079</v>
      </c>
      <c r="F4" s="11" t="s">
        <v>1080</v>
      </c>
    </row>
    <row r="5" customFormat="false" ht="54" hidden="false" customHeight="true" outlineLevel="0" collapsed="false">
      <c r="A5" s="23" t="s">
        <v>1081</v>
      </c>
      <c r="B5" s="24" t="s">
        <v>1082</v>
      </c>
      <c r="C5" s="23" t="str">
        <f aca="false">"On-time delivery "&amp;TEXT('KPI ANALYSIS'!$C$25,"0.0%")&amp;" ("&amp;'KPI ANALYSIS'!$C$23&amp;" of "&amp;'KPI ANALYSIS'!$C$22&amp;"); "&amp;'KPI ANALYSIS'!$C$24&amp;" late, avg "&amp;TEXT('KPI ANALYSIS'!$C$26,"0.0")&amp;" days late"</f>
        <v>On-time delivery 72.4% (97 of 134); 37 late, avg 6.7 days late</v>
      </c>
      <c r="D5" s="23" t="s">
        <v>1083</v>
      </c>
      <c r="E5" s="23" t="s">
        <v>1084</v>
      </c>
      <c r="F5" s="23" t="s">
        <v>1085</v>
      </c>
    </row>
    <row r="6" customFormat="false" ht="54" hidden="false" customHeight="true" outlineLevel="0" collapsed="false">
      <c r="A6" s="23" t="s">
        <v>1086</v>
      </c>
      <c r="B6" s="24" t="s">
        <v>1087</v>
      </c>
      <c r="C6" s="23" t="str">
        <f aca="false">"Commercial HP "&amp;TEXT('PIVOT ANALYSIS'!$H$8,"0%")&amp;" and Custom "&amp;TEXT('PIVOT ANALYSIS'!$H$11,"0%")&amp;" on time vs Water Heater "&amp;TEXT('PIVOT ANALYSIS'!$H$7,"0%")&amp;"; these two categories = "&amp;('PIVOT ANALYSIS'!$I$8+'PIVOT ANALYSIS'!$I$11)&amp;" of "&amp;'KPI ANALYSIS'!$C$24&amp;" late deliveries"</f>
        <v>Commercial HP 56% and Custom 43% on time vs Water Heater 90%; these two categories = 23 of 37 late deliveries</v>
      </c>
      <c r="D6" s="23" t="s">
        <v>1083</v>
      </c>
      <c r="E6" s="23" t="s">
        <v>1088</v>
      </c>
      <c r="F6" s="23" t="s">
        <v>1089</v>
      </c>
    </row>
    <row r="7" customFormat="false" ht="54" hidden="false" customHeight="true" outlineLevel="0" collapsed="false">
      <c r="A7" s="23" t="s">
        <v>1090</v>
      </c>
      <c r="B7" s="24" t="s">
        <v>1091</v>
      </c>
      <c r="C7" s="23" t="str">
        <f aca="false">"On-time installation "&amp;TEXT('KPI ANALYSIS'!$C$36,"0.0%")&amp;" vs on-time delivery "&amp;TEXT('KPI ANALYSIS'!$C$25,"0.0%")&amp;"; installation completion "&amp;TEXT('KPI ANALYSIS'!$C$32,"0.0%")&amp;" vs delivery completion "&amp;TEXT('KPI ANALYSIS'!$C$21,"0.0%")</f>
        <v>On-time installation 60.2% vs on-time delivery 72.4%; installation completion 93.6% vs delivery completion 98.5%</v>
      </c>
      <c r="D7" s="23" t="s">
        <v>1083</v>
      </c>
      <c r="E7" s="23" t="s">
        <v>1092</v>
      </c>
      <c r="F7" s="23" t="s">
        <v>1093</v>
      </c>
    </row>
    <row r="8" customFormat="false" ht="54" hidden="false" customHeight="true" outlineLevel="0" collapsed="false">
      <c r="A8" s="23" t="s">
        <v>1094</v>
      </c>
      <c r="B8" s="24" t="s">
        <v>1095</v>
      </c>
      <c r="C8" s="23" t="str">
        <f aca="false">COUNTIFS('CLEANED DATA'!$AD$2:$AD$1000,"&gt;0",'CLEANED DATA'!$Z$2:$Z$1000,"&lt;=0")&amp;" of "&amp;COUNTIF('CLEANED DATA'!$AD$2:$AD$1000,"&gt;0")&amp;" late installations followed an on-time delivery; top recorded reason: Customer site not ready ("&amp;COUNTIFS('CLEANED DATA'!$AD$2:$AD$1000,"&gt;0",'CLEANED DATA'!$P$2:$P$1000,"Customer site not ready")&amp;")"</f>
        <v>24 of 47 late installations followed an on-time delivery; top recorded reason: Customer site not ready (17)</v>
      </c>
      <c r="D8" s="23" t="s">
        <v>1096</v>
      </c>
      <c r="E8" s="23" t="s">
        <v>1097</v>
      </c>
      <c r="F8" s="23" t="s">
        <v>1098</v>
      </c>
    </row>
    <row r="9" customFormat="false" ht="54" hidden="false" customHeight="true" outlineLevel="0" collapsed="false">
      <c r="A9" s="23" t="s">
        <v>1099</v>
      </c>
      <c r="B9" s="24" t="s">
        <v>1100</v>
      </c>
      <c r="C9" s="23" t="str">
        <f aca="false">'KPI ANALYSIS'!$C$44&amp;" overdue orders: "&amp;'KPI ANALYSIS'!$C$46&amp;" at installation, "&amp;'KPI ANALYSIS'!$C$45&amp;" at delivery; average "&amp;TEXT('KPI ANALYSIS'!$C$47,"0")&amp;" days overdue; "&amp;'KPI ANALYSIS'!$C$34&amp;" delivered units await installation"</f>
        <v>9 overdue orders: 7 at installation, 2 at delivery; average 39 days overdue; 14 delivered units await installation</v>
      </c>
      <c r="D9" s="23" t="s">
        <v>1083</v>
      </c>
      <c r="E9" s="23" t="s">
        <v>1101</v>
      </c>
      <c r="F9" s="23" t="s">
        <v>1102</v>
      </c>
    </row>
    <row r="10" customFormat="false" ht="54" hidden="false" customHeight="true" outlineLevel="0" collapsed="false">
      <c r="A10" s="23" t="s">
        <v>1103</v>
      </c>
      <c r="B10" s="24" t="s">
        <v>1104</v>
      </c>
      <c r="C10" s="23" t="str">
        <f aca="false">"Avg production "&amp;TEXT('KPI ANALYSIS'!$C$40,"0.0")&amp;" d, transit "&amp;TEXT('KPI ANALYSIS'!$C$41,"0.0")&amp;" d, delivery-&gt;install "&amp;TEXT('KPI ANALYSIS'!$C$38,"0.0")&amp;" d; end-to-end cycle "&amp;TEXT('KPI ANALYSIS'!$C$43,"0.0")&amp;" d"</f>
        <v>Avg production 13.2 d, transit 3.1 d, delivery-&gt;install 6.7 d; end-to-end cycle 22.4 d</v>
      </c>
      <c r="D10" s="23" t="s">
        <v>1083</v>
      </c>
      <c r="E10" s="23" t="s">
        <v>1105</v>
      </c>
      <c r="F10" s="23" t="s">
        <v>1106</v>
      </c>
    </row>
    <row r="11" customFormat="false" ht="54" hidden="false" customHeight="true" outlineLevel="0" collapsed="false">
      <c r="A11" s="23" t="s">
        <v>1107</v>
      </c>
      <c r="B11" s="24" t="s">
        <v>1108</v>
      </c>
      <c r="C11" s="23" t="str">
        <f aca="false">"Other States "&amp;TEXT('PIVOT ANALYSIS'!$H$35,"0%")&amp;" on time vs Bengaluru "&amp;TEXT('PIVOT ANALYSIS'!$H$33,"0%")&amp;" ("&amp;'PIVOT ANALYSIS'!$G$35&amp;" timed deliveries - small sample)"</f>
        <v>Other States 52% on time vs Bengaluru 78% (21 timed deliveries - small sample)</v>
      </c>
      <c r="D11" s="23" t="s">
        <v>1109</v>
      </c>
      <c r="E11" s="23" t="s">
        <v>1110</v>
      </c>
      <c r="F11" s="23" t="s">
        <v>1111</v>
      </c>
    </row>
    <row r="12" customFormat="false" ht="54" hidden="false" customHeight="true" outlineLevel="0" collapsed="false">
      <c r="A12" s="23" t="s">
        <v>1112</v>
      </c>
      <c r="B12" s="24" t="s">
        <v>1113</v>
      </c>
      <c r="C12" s="23" t="str">
        <f aca="false">'KPI ANALYSIS'!$C$54&amp;" of "&amp;'KPI ANALYSIS'!$C$24&amp;" late deliveries and "&amp;'KPI ANALYSIS'!$C$55&amp;" of "&amp;COUNTIF('CLEANED DATA'!$AD$2:$AD$1000,"&gt;0")&amp;" late installations have no reason"</f>
        <v>8 of 37 late deliveries and 14 of 47 late installations have no reason</v>
      </c>
      <c r="D12" s="23" t="s">
        <v>1083</v>
      </c>
      <c r="E12" s="23" t="s">
        <v>1114</v>
      </c>
      <c r="F12" s="23" t="s">
        <v>1115</v>
      </c>
    </row>
    <row r="13" customFormat="false" ht="54" hidden="false" customHeight="true" outlineLevel="0" collapsed="false">
      <c r="A13" s="23" t="s">
        <v>1116</v>
      </c>
      <c r="B13" s="24" t="s">
        <v>1117</v>
      </c>
      <c r="C13" s="23" t="str">
        <f aca="false">"3 duplicate rows removed; 48 changes or flags recorded in the cleaning log; "&amp;'KPI ANALYSIS'!$C$53&amp;" rows carry a data-quality flag"</f>
        <v>3 duplicate rows removed; 48 changes or flags recorded in the cleaning log; 9 rows carry a data-quality flag</v>
      </c>
      <c r="D13" s="23" t="s">
        <v>1118</v>
      </c>
      <c r="E13" s="23" t="s">
        <v>1119</v>
      </c>
      <c r="F13" s="23" t="s">
        <v>1120</v>
      </c>
    </row>
    <row r="14" customFormat="false" ht="15" hidden="false" customHeight="false" outlineLevel="0" collapsed="false">
      <c r="A14" s="6" t="s">
        <v>1121</v>
      </c>
    </row>
    <row r="15" customFormat="false" ht="23.85" hidden="false" customHeight="false" outlineLevel="0" collapsed="false">
      <c r="A15" s="11" t="s">
        <v>759</v>
      </c>
      <c r="B15" s="11" t="s">
        <v>1122</v>
      </c>
      <c r="C15" s="11" t="s">
        <v>1123</v>
      </c>
      <c r="D15" s="11" t="s">
        <v>1124</v>
      </c>
      <c r="E15" s="11" t="s">
        <v>1125</v>
      </c>
      <c r="F15" s="11" t="s">
        <v>1126</v>
      </c>
      <c r="G15" s="11" t="s">
        <v>1127</v>
      </c>
      <c r="H15" s="11" t="s">
        <v>1128</v>
      </c>
      <c r="I15" s="11" t="s">
        <v>1129</v>
      </c>
    </row>
    <row r="16" customFormat="false" ht="51.75" hidden="false" customHeight="true" outlineLevel="0" collapsed="false">
      <c r="A16" s="23" t="s">
        <v>1130</v>
      </c>
      <c r="B16" s="23" t="s">
        <v>1099</v>
      </c>
      <c r="C16" s="24" t="s">
        <v>1131</v>
      </c>
      <c r="D16" s="23" t="s">
        <v>1132</v>
      </c>
      <c r="E16" s="23" t="s">
        <v>1133</v>
      </c>
      <c r="F16" s="72" t="s">
        <v>1134</v>
      </c>
      <c r="G16" s="23" t="s">
        <v>1135</v>
      </c>
      <c r="H16" s="23" t="s">
        <v>1136</v>
      </c>
      <c r="I16" s="23" t="s">
        <v>1137</v>
      </c>
    </row>
    <row r="17" customFormat="false" ht="51.75" hidden="false" customHeight="true" outlineLevel="0" collapsed="false">
      <c r="A17" s="23" t="s">
        <v>1138</v>
      </c>
      <c r="B17" s="23" t="s">
        <v>1139</v>
      </c>
      <c r="C17" s="24" t="s">
        <v>1140</v>
      </c>
      <c r="D17" s="23" t="s">
        <v>1141</v>
      </c>
      <c r="E17" s="23" t="s">
        <v>1142</v>
      </c>
      <c r="F17" s="72" t="s">
        <v>1134</v>
      </c>
      <c r="G17" s="23" t="s">
        <v>1135</v>
      </c>
      <c r="H17" s="23" t="s">
        <v>1143</v>
      </c>
      <c r="I17" s="23" t="s">
        <v>1144</v>
      </c>
    </row>
    <row r="18" customFormat="false" ht="51.75" hidden="false" customHeight="true" outlineLevel="0" collapsed="false">
      <c r="A18" s="23" t="s">
        <v>1145</v>
      </c>
      <c r="B18" s="23" t="s">
        <v>1146</v>
      </c>
      <c r="C18" s="24" t="s">
        <v>1147</v>
      </c>
      <c r="D18" s="23" t="s">
        <v>1148</v>
      </c>
      <c r="E18" s="23" t="s">
        <v>1149</v>
      </c>
      <c r="F18" s="72" t="s">
        <v>1134</v>
      </c>
      <c r="G18" s="23" t="s">
        <v>1150</v>
      </c>
      <c r="H18" s="23" t="s">
        <v>1151</v>
      </c>
      <c r="I18" s="23" t="s">
        <v>1152</v>
      </c>
    </row>
    <row r="19" customFormat="false" ht="51.75" hidden="false" customHeight="true" outlineLevel="0" collapsed="false">
      <c r="A19" s="23" t="s">
        <v>1153</v>
      </c>
      <c r="B19" s="23" t="s">
        <v>1086</v>
      </c>
      <c r="C19" s="24" t="s">
        <v>1154</v>
      </c>
      <c r="D19" s="23" t="s">
        <v>1155</v>
      </c>
      <c r="E19" s="23" t="s">
        <v>1156</v>
      </c>
      <c r="F19" s="73" t="s">
        <v>1150</v>
      </c>
      <c r="G19" s="23" t="s">
        <v>1150</v>
      </c>
      <c r="H19" s="23" t="s">
        <v>1157</v>
      </c>
      <c r="I19" s="23" t="s">
        <v>1158</v>
      </c>
    </row>
    <row r="20" customFormat="false" ht="51.75" hidden="false" customHeight="true" outlineLevel="0" collapsed="false">
      <c r="A20" s="23" t="s">
        <v>1159</v>
      </c>
      <c r="B20" s="23" t="s">
        <v>1112</v>
      </c>
      <c r="C20" s="24" t="s">
        <v>1160</v>
      </c>
      <c r="D20" s="23" t="s">
        <v>1161</v>
      </c>
      <c r="E20" s="23" t="s">
        <v>1162</v>
      </c>
      <c r="F20" s="73" t="s">
        <v>1150</v>
      </c>
      <c r="G20" s="23" t="s">
        <v>1135</v>
      </c>
      <c r="H20" s="23" t="s">
        <v>1143</v>
      </c>
      <c r="I20" s="23" t="s">
        <v>1163</v>
      </c>
    </row>
    <row r="21" customFormat="false" ht="51.75" hidden="false" customHeight="true" outlineLevel="0" collapsed="false">
      <c r="A21" s="23" t="s">
        <v>1164</v>
      </c>
      <c r="B21" s="23" t="s">
        <v>1116</v>
      </c>
      <c r="C21" s="24" t="s">
        <v>1165</v>
      </c>
      <c r="D21" s="23" t="s">
        <v>1166</v>
      </c>
      <c r="E21" s="23" t="s">
        <v>1167</v>
      </c>
      <c r="F21" s="73" t="s">
        <v>1150</v>
      </c>
      <c r="G21" s="23" t="s">
        <v>1135</v>
      </c>
      <c r="H21" s="23" t="s">
        <v>1168</v>
      </c>
      <c r="I21" s="23" t="s">
        <v>1169</v>
      </c>
    </row>
    <row r="22" customFormat="false" ht="51.75" hidden="false" customHeight="true" outlineLevel="0" collapsed="false">
      <c r="A22" s="23" t="s">
        <v>1170</v>
      </c>
      <c r="B22" s="23" t="s">
        <v>1171</v>
      </c>
      <c r="C22" s="24" t="s">
        <v>1172</v>
      </c>
      <c r="D22" s="23" t="s">
        <v>1173</v>
      </c>
      <c r="E22" s="23" t="s">
        <v>1174</v>
      </c>
      <c r="F22" s="73" t="s">
        <v>1150</v>
      </c>
      <c r="G22" s="23" t="s">
        <v>1150</v>
      </c>
      <c r="H22" s="23" t="s">
        <v>1175</v>
      </c>
      <c r="I22" s="23" t="s">
        <v>1176</v>
      </c>
    </row>
    <row r="23" customFormat="false" ht="51.75" hidden="false" customHeight="true" outlineLevel="0" collapsed="false">
      <c r="A23" s="23" t="s">
        <v>1177</v>
      </c>
      <c r="B23" s="23" t="s">
        <v>1178</v>
      </c>
      <c r="C23" s="24" t="s">
        <v>1179</v>
      </c>
      <c r="D23" s="23" t="s">
        <v>1180</v>
      </c>
      <c r="E23" s="23" t="s">
        <v>1181</v>
      </c>
      <c r="F23" s="73" t="s">
        <v>1150</v>
      </c>
      <c r="G23" s="23" t="s">
        <v>1135</v>
      </c>
      <c r="H23" s="23" t="s">
        <v>1182</v>
      </c>
      <c r="I23" s="23" t="s">
        <v>1169</v>
      </c>
    </row>
    <row r="24" customFormat="false" ht="51.75" hidden="false" customHeight="true" outlineLevel="0" collapsed="false">
      <c r="A24" s="23" t="s">
        <v>1183</v>
      </c>
      <c r="B24" s="23" t="s">
        <v>1107</v>
      </c>
      <c r="C24" s="24" t="s">
        <v>1184</v>
      </c>
      <c r="D24" s="23" t="s">
        <v>1185</v>
      </c>
      <c r="E24" s="23" t="s">
        <v>1186</v>
      </c>
      <c r="F24" s="74" t="s">
        <v>1135</v>
      </c>
      <c r="G24" s="23" t="s">
        <v>1135</v>
      </c>
      <c r="H24" s="23" t="s">
        <v>1157</v>
      </c>
      <c r="I24" s="23" t="s">
        <v>1187</v>
      </c>
    </row>
    <row r="26" customFormat="false" ht="15" hidden="false" customHeight="false" outlineLevel="0" collapsed="false">
      <c r="A26" s="9" t="s">
        <v>1188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4" min="3" style="0" width="26"/>
    <col collapsed="false" customWidth="true" hidden="false" outlineLevel="0" max="5" min="5" style="0" width="70"/>
  </cols>
  <sheetData>
    <row r="1" customFormat="false" ht="25.5" hidden="false" customHeight="true" outlineLevel="0" collapsed="false">
      <c r="A1" s="8" t="s">
        <v>1189</v>
      </c>
    </row>
    <row r="2" customFormat="false" ht="15" hidden="false" customHeight="false" outlineLevel="0" collapsed="false">
      <c r="A2" s="9" t="s">
        <v>42</v>
      </c>
    </row>
    <row r="4" customFormat="false" ht="15" hidden="false" customHeight="false" outlineLevel="0" collapsed="false">
      <c r="A4" s="6" t="s">
        <v>1190</v>
      </c>
    </row>
    <row r="5" customFormat="false" ht="15" hidden="false" customHeight="false" outlineLevel="0" collapsed="false">
      <c r="A5" s="11" t="s">
        <v>759</v>
      </c>
      <c r="B5" s="11" t="s">
        <v>1191</v>
      </c>
      <c r="C5" s="11" t="s">
        <v>761</v>
      </c>
      <c r="D5" s="11" t="s">
        <v>1192</v>
      </c>
      <c r="E5" s="11" t="s">
        <v>57</v>
      </c>
    </row>
    <row r="6" customFormat="false" ht="15" hidden="false" customHeight="false" outlineLevel="0" collapsed="false">
      <c r="A6" s="75" t="n">
        <v>1</v>
      </c>
      <c r="B6" s="75" t="s">
        <v>1193</v>
      </c>
      <c r="C6" s="75" t="n">
        <f aca="false">COUNTA('CLEANED DATA'!$A$2:$A$1000)</f>
        <v>160</v>
      </c>
      <c r="D6" s="75" t="s">
        <v>1194</v>
      </c>
      <c r="E6" s="33" t="s">
        <v>1195</v>
      </c>
    </row>
    <row r="7" customFormat="false" ht="15" hidden="false" customHeight="false" outlineLevel="0" collapsed="false">
      <c r="A7" s="75" t="n">
        <v>2</v>
      </c>
      <c r="B7" s="75" t="s">
        <v>1196</v>
      </c>
      <c r="C7" s="75" t="n">
        <f aca="false">SUMPRODUCT(('CLEANED DATA'!$A$2:$A$1000&lt;&gt;"")*(COUNTIF('CLEANED DATA'!$A$2:$A$1000,'CLEANED DATA'!$A$2:$A$1000)&gt;1))</f>
        <v>0</v>
      </c>
      <c r="D7" s="75" t="s">
        <v>1197</v>
      </c>
      <c r="E7" s="33" t="str">
        <f aca="false">IF(C7=0,"OK","CHECK")</f>
        <v>OK</v>
      </c>
    </row>
    <row r="8" customFormat="false" ht="15" hidden="false" customHeight="false" outlineLevel="0" collapsed="false">
      <c r="A8" s="75" t="n">
        <v>3</v>
      </c>
      <c r="B8" s="75" t="s">
        <v>1198</v>
      </c>
      <c r="C8" s="75" t="n">
        <f aca="false">COUNTA('CLEANED DATA'!$N$2:$N$1000)-COUNTIF('CLEANED DATA'!$N$2:$N$1000,"Completed")-COUNTIF('CLEANED DATA'!$N$2:$N$1000,"Pending")-COUNTIF('CLEANED DATA'!$N$2:$N$1000,"Cancelled")</f>
        <v>0</v>
      </c>
      <c r="D8" s="75" t="s">
        <v>1197</v>
      </c>
      <c r="E8" s="33" t="str">
        <f aca="false">IF(C8=0,"OK","CHECK")</f>
        <v>OK</v>
      </c>
    </row>
    <row r="9" customFormat="false" ht="15" hidden="false" customHeight="false" outlineLevel="0" collapsed="false">
      <c r="A9" s="75" t="n">
        <v>4</v>
      </c>
      <c r="B9" s="75" t="s">
        <v>1199</v>
      </c>
      <c r="C9" s="75" t="n">
        <f aca="false">COUNTA('CLEANED DATA'!$F$2:$F$1000)-SUMPRODUCT(COUNTIF('CLEANED DATA'!$F$2:$F$1000,LISTS!$A$3:$A$7))</f>
        <v>0</v>
      </c>
      <c r="D9" s="75" t="s">
        <v>1197</v>
      </c>
      <c r="E9" s="33" t="str">
        <f aca="false">IF(C9=0,"OK","CHECK")</f>
        <v>OK</v>
      </c>
    </row>
    <row r="10" customFormat="false" ht="15" hidden="false" customHeight="false" outlineLevel="0" collapsed="false">
      <c r="A10" s="75" t="n">
        <v>5</v>
      </c>
      <c r="B10" s="75" t="s">
        <v>1200</v>
      </c>
      <c r="C10" s="75" t="n">
        <f aca="false">SUMPRODUCT(('CLEANED DATA'!$A$2:$A$1000&lt;&gt;"")*('CLEANED DATA'!$B$2:$B$1000=""))</f>
        <v>0</v>
      </c>
      <c r="D10" s="75" t="s">
        <v>1197</v>
      </c>
      <c r="E10" s="33" t="str">
        <f aca="false">IF(C10=0,"OK","CHECK")</f>
        <v>OK</v>
      </c>
    </row>
    <row r="11" customFormat="false" ht="15" hidden="false" customHeight="false" outlineLevel="0" collapsed="false">
      <c r="A11" s="75" t="n">
        <v>6</v>
      </c>
      <c r="B11" s="75" t="s">
        <v>1201</v>
      </c>
      <c r="C11" s="75" t="n">
        <f aca="false">COUNTIFS('CLEANED DATA'!$N$2:$N$1000,"Completed",'CLEANED DATA'!$K$2:$K$1000,"")</f>
        <v>1</v>
      </c>
      <c r="D11" s="75" t="s">
        <v>1202</v>
      </c>
      <c r="E11" s="33" t="s">
        <v>1195</v>
      </c>
    </row>
    <row r="12" customFormat="false" ht="15" hidden="false" customHeight="false" outlineLevel="0" collapsed="false">
      <c r="A12" s="75" t="n">
        <v>7</v>
      </c>
      <c r="B12" s="75" t="s">
        <v>1203</v>
      </c>
      <c r="C12" s="75" t="n">
        <f aca="false">COUNTIFS('CLEANED DATA'!$N$2:$N$1000,"Pending",'CLEANED DATA'!$AC$2:$AC$1000,1)</f>
        <v>0</v>
      </c>
      <c r="D12" s="75" t="s">
        <v>1197</v>
      </c>
      <c r="E12" s="33" t="str">
        <f aca="false">IF(C12=0,"OK","CHECK")</f>
        <v>OK</v>
      </c>
    </row>
    <row r="13" customFormat="false" ht="15" hidden="false" customHeight="false" outlineLevel="0" collapsed="false">
      <c r="A13" s="75" t="n">
        <v>8</v>
      </c>
      <c r="B13" s="75" t="s">
        <v>1204</v>
      </c>
      <c r="C13" s="75" t="n">
        <f aca="false">COUNTIFS('CLEANED DATA'!$N$2:$N$1000,"Cancelled",'CLEANED DATA'!$Z$2:$Z$1000,"&gt;-9999")</f>
        <v>0</v>
      </c>
      <c r="D13" s="75" t="s">
        <v>1197</v>
      </c>
      <c r="E13" s="33" t="str">
        <f aca="false">IF(C13=0,"OK","CHECK")</f>
        <v>OK</v>
      </c>
    </row>
    <row r="14" customFormat="false" ht="15" hidden="false" customHeight="false" outlineLevel="0" collapsed="false">
      <c r="A14" s="75" t="n">
        <v>9</v>
      </c>
      <c r="B14" s="75" t="s">
        <v>1205</v>
      </c>
      <c r="C14" s="75" t="n">
        <f aca="false">COUNTIF('CLEANED DATA'!$AF$2:$AF$1000,"&lt;0")+COUNTIF('CLEANED DATA'!$AG$2:$AG$1000,"&lt;0")+COUNTIF('CLEANED DATA'!$AH$2:$AH$1000,"&lt;0")</f>
        <v>0</v>
      </c>
      <c r="D14" s="75" t="s">
        <v>1197</v>
      </c>
      <c r="E14" s="33" t="str">
        <f aca="false">IF(C14=0,"OK","CHECK")</f>
        <v>OK</v>
      </c>
    </row>
    <row r="15" customFormat="false" ht="15" hidden="false" customHeight="false" outlineLevel="0" collapsed="false">
      <c r="A15" s="75" t="n">
        <v>10</v>
      </c>
      <c r="B15" s="75" t="s">
        <v>1206</v>
      </c>
      <c r="C15" s="75" t="n">
        <f aca="false">SUMPRODUCT(('CLEANED DATA'!$AL$2:$AL$1000=1)*('CLEANED DATA'!$Y$2:$Y$1000=0)*('CLEANED DATA'!$I$2:$I$1000&gt;=AsOf))+SUMPRODUCT(('CLEANED DATA'!$AL$2:$AL$1000=1)*('CLEANED DATA'!$Y$2:$Y$1000=1)*('CLEANED DATA'!$L$2:$L$1000&gt;=AsOf))</f>
        <v>0</v>
      </c>
      <c r="D15" s="75" t="s">
        <v>1197</v>
      </c>
      <c r="E15" s="33" t="str">
        <f aca="false">IF(C15=0,"OK","CHECK")</f>
        <v>OK</v>
      </c>
    </row>
    <row r="16" customFormat="false" ht="15" hidden="false" customHeight="false" outlineLevel="0" collapsed="false">
      <c r="A16" s="75" t="n">
        <v>11</v>
      </c>
      <c r="B16" s="75" t="s">
        <v>1207</v>
      </c>
      <c r="C16" s="75" t="n">
        <f aca="false">COUNTIFS('CLEANED DATA'!$S$2:$S$1000,"&lt;&gt;OK",'CLEANED DATA'!$S$2:$S$1000,"&lt;&gt;")</f>
        <v>9</v>
      </c>
      <c r="D16" s="75" t="s">
        <v>1208</v>
      </c>
      <c r="E16" s="33" t="s">
        <v>1195</v>
      </c>
    </row>
    <row r="18" customFormat="false" ht="15" hidden="false" customHeight="false" outlineLevel="0" collapsed="false">
      <c r="A18" s="6" t="s">
        <v>1209</v>
      </c>
    </row>
    <row r="19" customFormat="false" ht="15" hidden="false" customHeight="false" outlineLevel="0" collapsed="false">
      <c r="A19" s="11" t="s">
        <v>1210</v>
      </c>
      <c r="B19" s="11" t="s">
        <v>1211</v>
      </c>
      <c r="C19" s="11" t="s">
        <v>1212</v>
      </c>
      <c r="D19" s="11" t="s">
        <v>1213</v>
      </c>
    </row>
    <row r="20" customFormat="false" ht="22.35" hidden="false" customHeight="false" outlineLevel="0" collapsed="false">
      <c r="A20" s="24" t="s">
        <v>1130</v>
      </c>
      <c r="B20" s="23" t="s">
        <v>1214</v>
      </c>
      <c r="C20" s="23" t="s">
        <v>1215</v>
      </c>
      <c r="D20" s="23" t="s">
        <v>1216</v>
      </c>
    </row>
    <row r="21" customFormat="false" ht="15" hidden="false" customHeight="false" outlineLevel="0" collapsed="false">
      <c r="A21" s="24" t="s">
        <v>1138</v>
      </c>
      <c r="B21" s="23" t="s">
        <v>1217</v>
      </c>
      <c r="C21" s="23" t="s">
        <v>1218</v>
      </c>
      <c r="D21" s="23" t="s">
        <v>1219</v>
      </c>
    </row>
    <row r="22" customFormat="false" ht="22.35" hidden="false" customHeight="false" outlineLevel="0" collapsed="false">
      <c r="A22" s="24" t="s">
        <v>1145</v>
      </c>
      <c r="B22" s="23" t="s">
        <v>1220</v>
      </c>
      <c r="C22" s="23" t="s">
        <v>1221</v>
      </c>
      <c r="D22" s="23" t="s">
        <v>1222</v>
      </c>
    </row>
    <row r="23" customFormat="false" ht="32.8" hidden="false" customHeight="false" outlineLevel="0" collapsed="false">
      <c r="A23" s="24" t="s">
        <v>1153</v>
      </c>
      <c r="B23" s="23" t="s">
        <v>1223</v>
      </c>
      <c r="C23" s="23" t="s">
        <v>1224</v>
      </c>
      <c r="D23" s="23" t="s">
        <v>1225</v>
      </c>
    </row>
    <row r="24" customFormat="false" ht="22.35" hidden="false" customHeight="false" outlineLevel="0" collapsed="false">
      <c r="A24" s="24" t="s">
        <v>1159</v>
      </c>
      <c r="B24" s="23" t="s">
        <v>1226</v>
      </c>
      <c r="C24" s="23" t="s">
        <v>1227</v>
      </c>
      <c r="D24" s="23" t="s">
        <v>1228</v>
      </c>
    </row>
    <row r="25" customFormat="false" ht="32.8" hidden="false" customHeight="false" outlineLevel="0" collapsed="false">
      <c r="A25" s="24" t="s">
        <v>1164</v>
      </c>
      <c r="B25" s="23" t="s">
        <v>1229</v>
      </c>
      <c r="C25" s="23" t="s">
        <v>1230</v>
      </c>
      <c r="D25" s="23" t="s">
        <v>1231</v>
      </c>
    </row>
    <row r="26" customFormat="false" ht="32.8" hidden="false" customHeight="false" outlineLevel="0" collapsed="false">
      <c r="A26" s="24" t="s">
        <v>1170</v>
      </c>
      <c r="B26" s="23" t="s">
        <v>1232</v>
      </c>
      <c r="C26" s="23" t="s">
        <v>1233</v>
      </c>
      <c r="D26" s="23" t="s">
        <v>1234</v>
      </c>
    </row>
    <row r="27" customFormat="false" ht="32.8" hidden="false" customHeight="false" outlineLevel="0" collapsed="false">
      <c r="A27" s="24" t="s">
        <v>1177</v>
      </c>
      <c r="B27" s="23" t="s">
        <v>1235</v>
      </c>
      <c r="C27" s="23" t="s">
        <v>1236</v>
      </c>
      <c r="D27" s="23" t="s">
        <v>1237</v>
      </c>
    </row>
    <row r="28" customFormat="false" ht="22.35" hidden="false" customHeight="false" outlineLevel="0" collapsed="false">
      <c r="A28" s="24" t="s">
        <v>1183</v>
      </c>
      <c r="B28" s="23" t="s">
        <v>1238</v>
      </c>
      <c r="C28" s="23" t="s">
        <v>1239</v>
      </c>
      <c r="D28" s="23" t="s">
        <v>1240</v>
      </c>
    </row>
    <row r="29" customFormat="false" ht="22.35" hidden="false" customHeight="false" outlineLevel="0" collapsed="false">
      <c r="A29" s="24" t="s">
        <v>1241</v>
      </c>
      <c r="B29" s="23" t="s">
        <v>1242</v>
      </c>
      <c r="C29" s="23" t="s">
        <v>1243</v>
      </c>
      <c r="D29" s="23" t="s">
        <v>1244</v>
      </c>
    </row>
    <row r="31" customFormat="false" ht="15" hidden="false" customHeight="false" outlineLevel="0" collapsed="false">
      <c r="A31" s="6" t="s">
        <v>1245</v>
      </c>
    </row>
    <row r="32" customFormat="false" ht="15" hidden="false" customHeight="false" outlineLevel="0" collapsed="false">
      <c r="A32" s="11" t="s">
        <v>44</v>
      </c>
      <c r="B32" s="11" t="s">
        <v>1246</v>
      </c>
      <c r="C32" s="11" t="s">
        <v>1247</v>
      </c>
      <c r="D32" s="11" t="s">
        <v>1248</v>
      </c>
      <c r="E32" s="11" t="s">
        <v>1249</v>
      </c>
    </row>
    <row r="33" customFormat="false" ht="15" hidden="false" customHeight="false" outlineLevel="0" collapsed="false">
      <c r="A33" s="76" t="s">
        <v>748</v>
      </c>
      <c r="B33" s="76" t="s">
        <v>44</v>
      </c>
      <c r="C33" s="76" t="s">
        <v>1250</v>
      </c>
      <c r="D33" s="76" t="s">
        <v>748</v>
      </c>
      <c r="E33" s="76" t="s">
        <v>1251</v>
      </c>
    </row>
    <row r="34" customFormat="false" ht="15" hidden="false" customHeight="false" outlineLevel="0" collapsed="false">
      <c r="A34" s="76" t="s">
        <v>750</v>
      </c>
      <c r="B34" s="76" t="s">
        <v>44</v>
      </c>
      <c r="C34" s="76" t="s">
        <v>1252</v>
      </c>
      <c r="D34" s="76" t="s">
        <v>750</v>
      </c>
      <c r="E34" s="76" t="s">
        <v>1251</v>
      </c>
    </row>
    <row r="35" customFormat="false" ht="15" hidden="false" customHeight="false" outlineLevel="0" collapsed="false">
      <c r="A35" s="76" t="s">
        <v>753</v>
      </c>
      <c r="B35" s="76" t="s">
        <v>44</v>
      </c>
      <c r="C35" s="76" t="s">
        <v>1253</v>
      </c>
      <c r="D35" s="76" t="s">
        <v>753</v>
      </c>
      <c r="E35" s="76" t="s">
        <v>1251</v>
      </c>
    </row>
    <row r="36" customFormat="false" ht="15" hidden="false" customHeight="false" outlineLevel="0" collapsed="false">
      <c r="A36" s="76" t="s">
        <v>755</v>
      </c>
      <c r="B36" s="76" t="s">
        <v>44</v>
      </c>
      <c r="C36" s="76" t="s">
        <v>1254</v>
      </c>
      <c r="D36" s="76" t="s">
        <v>755</v>
      </c>
      <c r="E36" s="76" t="s">
        <v>1251</v>
      </c>
    </row>
    <row r="37" customFormat="false" ht="15" hidden="false" customHeight="false" outlineLevel="0" collapsed="false">
      <c r="A37" s="76" t="s">
        <v>248</v>
      </c>
      <c r="B37" s="76" t="s">
        <v>1255</v>
      </c>
      <c r="C37" s="76" t="s">
        <v>1256</v>
      </c>
      <c r="D37" s="76" t="s">
        <v>1257</v>
      </c>
      <c r="E37" s="76" t="s">
        <v>1258</v>
      </c>
    </row>
    <row r="38" customFormat="false" ht="15" hidden="false" customHeight="false" outlineLevel="0" collapsed="false">
      <c r="A38" s="76" t="s">
        <v>451</v>
      </c>
      <c r="B38" s="76" t="s">
        <v>1255</v>
      </c>
      <c r="C38" s="76" t="s">
        <v>1256</v>
      </c>
      <c r="D38" s="76" t="s">
        <v>1257</v>
      </c>
      <c r="E38" s="76" t="s">
        <v>1258</v>
      </c>
    </row>
    <row r="39" customFormat="false" ht="15" hidden="false" customHeight="false" outlineLevel="0" collapsed="false">
      <c r="A39" s="76" t="s">
        <v>661</v>
      </c>
      <c r="B39" s="76" t="s">
        <v>1255</v>
      </c>
      <c r="C39" s="76" t="s">
        <v>1256</v>
      </c>
      <c r="D39" s="76" t="s">
        <v>1257</v>
      </c>
      <c r="E39" s="76" t="s">
        <v>1258</v>
      </c>
    </row>
    <row r="40" customFormat="false" ht="15" hidden="false" customHeight="false" outlineLevel="0" collapsed="false">
      <c r="A40" s="76" t="s">
        <v>126</v>
      </c>
      <c r="B40" s="76" t="s">
        <v>57</v>
      </c>
      <c r="C40" s="76" t="s">
        <v>133</v>
      </c>
      <c r="D40" s="76" t="s">
        <v>75</v>
      </c>
      <c r="E40" s="76" t="s">
        <v>1259</v>
      </c>
    </row>
    <row r="41" customFormat="false" ht="15" hidden="false" customHeight="false" outlineLevel="0" collapsed="false">
      <c r="A41" s="76" t="s">
        <v>205</v>
      </c>
      <c r="B41" s="76" t="s">
        <v>57</v>
      </c>
      <c r="C41" s="76" t="s">
        <v>209</v>
      </c>
      <c r="D41" s="76" t="s">
        <v>188</v>
      </c>
      <c r="E41" s="76" t="s">
        <v>1259</v>
      </c>
    </row>
    <row r="42" customFormat="false" ht="15" hidden="false" customHeight="false" outlineLevel="0" collapsed="false">
      <c r="A42" s="76" t="s">
        <v>211</v>
      </c>
      <c r="B42" s="76" t="s">
        <v>57</v>
      </c>
      <c r="C42" s="76" t="s">
        <v>215</v>
      </c>
      <c r="D42" s="76" t="s">
        <v>75</v>
      </c>
      <c r="E42" s="76" t="s">
        <v>1259</v>
      </c>
    </row>
    <row r="43" customFormat="false" ht="15" hidden="false" customHeight="false" outlineLevel="0" collapsed="false">
      <c r="A43" s="76" t="s">
        <v>216</v>
      </c>
      <c r="B43" s="76" t="s">
        <v>57</v>
      </c>
      <c r="C43" s="76" t="s">
        <v>209</v>
      </c>
      <c r="D43" s="76" t="s">
        <v>188</v>
      </c>
      <c r="E43" s="76" t="s">
        <v>1259</v>
      </c>
    </row>
    <row r="44" customFormat="false" ht="15" hidden="false" customHeight="false" outlineLevel="0" collapsed="false">
      <c r="A44" s="76" t="s">
        <v>306</v>
      </c>
      <c r="B44" s="76" t="s">
        <v>57</v>
      </c>
      <c r="C44" s="76" t="s">
        <v>215</v>
      </c>
      <c r="D44" s="76" t="s">
        <v>75</v>
      </c>
      <c r="E44" s="76" t="s">
        <v>1259</v>
      </c>
    </row>
    <row r="45" customFormat="false" ht="15" hidden="false" customHeight="false" outlineLevel="0" collapsed="false">
      <c r="A45" s="76" t="s">
        <v>353</v>
      </c>
      <c r="B45" s="76" t="s">
        <v>57</v>
      </c>
      <c r="C45" s="76" t="s">
        <v>357</v>
      </c>
      <c r="D45" s="76" t="s">
        <v>75</v>
      </c>
      <c r="E45" s="76" t="s">
        <v>1259</v>
      </c>
    </row>
    <row r="46" customFormat="false" ht="15" hidden="false" customHeight="false" outlineLevel="0" collapsed="false">
      <c r="A46" s="76" t="s">
        <v>404</v>
      </c>
      <c r="B46" s="76" t="s">
        <v>57</v>
      </c>
      <c r="C46" s="76" t="s">
        <v>408</v>
      </c>
      <c r="D46" s="76" t="s">
        <v>328</v>
      </c>
      <c r="E46" s="76" t="s">
        <v>1259</v>
      </c>
    </row>
    <row r="47" customFormat="false" ht="15" hidden="false" customHeight="false" outlineLevel="0" collapsed="false">
      <c r="A47" s="76" t="s">
        <v>431</v>
      </c>
      <c r="B47" s="76" t="s">
        <v>57</v>
      </c>
      <c r="C47" s="76" t="s">
        <v>438</v>
      </c>
      <c r="D47" s="76" t="s">
        <v>328</v>
      </c>
      <c r="E47" s="76" t="s">
        <v>1259</v>
      </c>
    </row>
    <row r="48" customFormat="false" ht="15" hidden="false" customHeight="false" outlineLevel="0" collapsed="false">
      <c r="A48" s="76" t="s">
        <v>524</v>
      </c>
      <c r="B48" s="76" t="s">
        <v>57</v>
      </c>
      <c r="C48" s="76" t="s">
        <v>357</v>
      </c>
      <c r="D48" s="76" t="s">
        <v>75</v>
      </c>
      <c r="E48" s="76" t="s">
        <v>1259</v>
      </c>
    </row>
    <row r="49" customFormat="false" ht="15" hidden="false" customHeight="false" outlineLevel="0" collapsed="false">
      <c r="A49" s="76" t="s">
        <v>621</v>
      </c>
      <c r="B49" s="76" t="s">
        <v>57</v>
      </c>
      <c r="C49" s="76" t="s">
        <v>624</v>
      </c>
      <c r="D49" s="76" t="s">
        <v>328</v>
      </c>
      <c r="E49" s="76" t="s">
        <v>1259</v>
      </c>
    </row>
    <row r="50" customFormat="false" ht="15" hidden="false" customHeight="false" outlineLevel="0" collapsed="false">
      <c r="A50" s="76" t="s">
        <v>651</v>
      </c>
      <c r="B50" s="76" t="s">
        <v>57</v>
      </c>
      <c r="C50" s="76" t="s">
        <v>438</v>
      </c>
      <c r="D50" s="76" t="s">
        <v>328</v>
      </c>
      <c r="E50" s="76" t="s">
        <v>1259</v>
      </c>
    </row>
    <row r="51" customFormat="false" ht="15" hidden="false" customHeight="false" outlineLevel="0" collapsed="false">
      <c r="A51" s="76" t="s">
        <v>692</v>
      </c>
      <c r="B51" s="76" t="s">
        <v>57</v>
      </c>
      <c r="C51" s="76" t="s">
        <v>438</v>
      </c>
      <c r="D51" s="76" t="s">
        <v>328</v>
      </c>
      <c r="E51" s="76" t="s">
        <v>1259</v>
      </c>
    </row>
    <row r="52" customFormat="false" ht="15" hidden="false" customHeight="false" outlineLevel="0" collapsed="false">
      <c r="A52" s="76" t="s">
        <v>201</v>
      </c>
      <c r="B52" s="76" t="s">
        <v>49</v>
      </c>
      <c r="C52" s="76" t="s">
        <v>203</v>
      </c>
      <c r="D52" s="76" t="s">
        <v>160</v>
      </c>
      <c r="E52" s="76" t="s">
        <v>1260</v>
      </c>
    </row>
    <row r="53" customFormat="false" ht="15" hidden="false" customHeight="false" outlineLevel="0" collapsed="false">
      <c r="A53" s="76" t="s">
        <v>211</v>
      </c>
      <c r="B53" s="76" t="s">
        <v>49</v>
      </c>
      <c r="C53" s="76" t="s">
        <v>213</v>
      </c>
      <c r="D53" s="76" t="s">
        <v>150</v>
      </c>
      <c r="E53" s="76" t="s">
        <v>1260</v>
      </c>
    </row>
    <row r="54" customFormat="false" ht="15" hidden="false" customHeight="false" outlineLevel="0" collapsed="false">
      <c r="A54" s="76" t="s">
        <v>232</v>
      </c>
      <c r="B54" s="76" t="s">
        <v>49</v>
      </c>
      <c r="C54" s="76" t="s">
        <v>203</v>
      </c>
      <c r="D54" s="76" t="s">
        <v>160</v>
      </c>
      <c r="E54" s="76" t="s">
        <v>1260</v>
      </c>
    </row>
    <row r="55" customFormat="false" ht="15" hidden="false" customHeight="false" outlineLevel="0" collapsed="false">
      <c r="A55" s="76" t="s">
        <v>360</v>
      </c>
      <c r="B55" s="76" t="s">
        <v>49</v>
      </c>
      <c r="C55" s="76" t="s">
        <v>203</v>
      </c>
      <c r="D55" s="76" t="s">
        <v>160</v>
      </c>
      <c r="E55" s="76" t="s">
        <v>1260</v>
      </c>
    </row>
    <row r="56" customFormat="false" ht="15" hidden="false" customHeight="false" outlineLevel="0" collapsed="false">
      <c r="A56" s="76" t="s">
        <v>379</v>
      </c>
      <c r="B56" s="76" t="s">
        <v>49</v>
      </c>
      <c r="C56" s="76" t="s">
        <v>213</v>
      </c>
      <c r="D56" s="76" t="s">
        <v>150</v>
      </c>
      <c r="E56" s="76" t="s">
        <v>1260</v>
      </c>
    </row>
    <row r="57" customFormat="false" ht="15" hidden="false" customHeight="false" outlineLevel="0" collapsed="false">
      <c r="A57" s="76" t="s">
        <v>430</v>
      </c>
      <c r="B57" s="76" t="s">
        <v>49</v>
      </c>
      <c r="C57" s="76" t="s">
        <v>213</v>
      </c>
      <c r="D57" s="76" t="s">
        <v>150</v>
      </c>
      <c r="E57" s="76" t="s">
        <v>1260</v>
      </c>
    </row>
    <row r="58" customFormat="false" ht="15" hidden="false" customHeight="false" outlineLevel="0" collapsed="false">
      <c r="A58" s="76" t="s">
        <v>497</v>
      </c>
      <c r="B58" s="76" t="s">
        <v>49</v>
      </c>
      <c r="C58" s="76" t="s">
        <v>499</v>
      </c>
      <c r="D58" s="76" t="s">
        <v>67</v>
      </c>
      <c r="E58" s="76" t="s">
        <v>1260</v>
      </c>
    </row>
    <row r="59" customFormat="false" ht="15" hidden="false" customHeight="false" outlineLevel="0" collapsed="false">
      <c r="A59" s="76" t="s">
        <v>502</v>
      </c>
      <c r="B59" s="76" t="s">
        <v>49</v>
      </c>
      <c r="C59" s="76" t="s">
        <v>499</v>
      </c>
      <c r="D59" s="76" t="s">
        <v>67</v>
      </c>
      <c r="E59" s="76" t="s">
        <v>1260</v>
      </c>
    </row>
    <row r="60" customFormat="false" ht="15" hidden="false" customHeight="false" outlineLevel="0" collapsed="false">
      <c r="A60" s="76" t="s">
        <v>205</v>
      </c>
      <c r="B60" s="76" t="s">
        <v>47</v>
      </c>
      <c r="C60" s="76" t="s">
        <v>207</v>
      </c>
      <c r="D60" s="76" t="s">
        <v>149</v>
      </c>
      <c r="E60" s="76" t="s">
        <v>1261</v>
      </c>
    </row>
    <row r="61" customFormat="false" ht="15" hidden="false" customHeight="false" outlineLevel="0" collapsed="false">
      <c r="A61" s="76" t="s">
        <v>229</v>
      </c>
      <c r="B61" s="76" t="s">
        <v>47</v>
      </c>
      <c r="C61" s="76" t="s">
        <v>230</v>
      </c>
      <c r="D61" s="76" t="s">
        <v>90</v>
      </c>
      <c r="E61" s="76" t="s">
        <v>1261</v>
      </c>
    </row>
    <row r="62" customFormat="false" ht="15" hidden="false" customHeight="false" outlineLevel="0" collapsed="false">
      <c r="A62" s="76" t="s">
        <v>358</v>
      </c>
      <c r="B62" s="76" t="s">
        <v>47</v>
      </c>
      <c r="C62" s="76" t="s">
        <v>207</v>
      </c>
      <c r="D62" s="76" t="s">
        <v>149</v>
      </c>
      <c r="E62" s="76" t="s">
        <v>1261</v>
      </c>
    </row>
    <row r="63" customFormat="false" ht="15" hidden="false" customHeight="false" outlineLevel="0" collapsed="false">
      <c r="A63" s="76" t="s">
        <v>645</v>
      </c>
      <c r="B63" s="76" t="s">
        <v>47</v>
      </c>
      <c r="C63" s="76" t="s">
        <v>230</v>
      </c>
      <c r="D63" s="76" t="s">
        <v>90</v>
      </c>
      <c r="E63" s="76" t="s">
        <v>1261</v>
      </c>
    </row>
    <row r="64" customFormat="false" ht="15" hidden="false" customHeight="false" outlineLevel="0" collapsed="false">
      <c r="A64" s="76" t="s">
        <v>135</v>
      </c>
      <c r="B64" s="76" t="s">
        <v>45</v>
      </c>
      <c r="C64" s="76" t="s">
        <v>136</v>
      </c>
      <c r="D64" s="76" t="s">
        <v>1262</v>
      </c>
      <c r="E64" s="76" t="s">
        <v>1263</v>
      </c>
    </row>
    <row r="65" customFormat="false" ht="15" hidden="false" customHeight="false" outlineLevel="0" collapsed="false">
      <c r="A65" s="76" t="s">
        <v>750</v>
      </c>
      <c r="B65" s="76" t="s">
        <v>45</v>
      </c>
      <c r="C65" s="76" t="s">
        <v>252</v>
      </c>
      <c r="D65" s="76" t="s">
        <v>172</v>
      </c>
      <c r="E65" s="76" t="s">
        <v>1263</v>
      </c>
    </row>
    <row r="66" customFormat="false" ht="15" hidden="false" customHeight="false" outlineLevel="0" collapsed="false">
      <c r="A66" s="76" t="s">
        <v>353</v>
      </c>
      <c r="B66" s="76" t="s">
        <v>45</v>
      </c>
      <c r="C66" s="76" t="s">
        <v>354</v>
      </c>
      <c r="D66" s="76" t="s">
        <v>237</v>
      </c>
      <c r="E66" s="76" t="s">
        <v>1263</v>
      </c>
    </row>
    <row r="67" customFormat="false" ht="15" hidden="false" customHeight="false" outlineLevel="0" collapsed="false">
      <c r="A67" s="76" t="s">
        <v>470</v>
      </c>
      <c r="B67" s="76" t="s">
        <v>45</v>
      </c>
      <c r="C67" s="76" t="s">
        <v>471</v>
      </c>
      <c r="D67" s="76" t="s">
        <v>327</v>
      </c>
      <c r="E67" s="76" t="s">
        <v>1263</v>
      </c>
    </row>
    <row r="68" customFormat="false" ht="15" hidden="false" customHeight="false" outlineLevel="0" collapsed="false">
      <c r="A68" s="76" t="s">
        <v>476</v>
      </c>
      <c r="B68" s="76" t="s">
        <v>45</v>
      </c>
      <c r="C68" s="76" t="s">
        <v>471</v>
      </c>
      <c r="D68" s="76" t="s">
        <v>327</v>
      </c>
      <c r="E68" s="76" t="s">
        <v>1263</v>
      </c>
    </row>
    <row r="69" customFormat="false" ht="15" hidden="false" customHeight="false" outlineLevel="0" collapsed="false">
      <c r="A69" s="76" t="s">
        <v>504</v>
      </c>
      <c r="B69" s="76" t="s">
        <v>45</v>
      </c>
      <c r="C69" s="76" t="s">
        <v>505</v>
      </c>
      <c r="D69" s="76" t="s">
        <v>383</v>
      </c>
      <c r="E69" s="76" t="s">
        <v>1263</v>
      </c>
    </row>
    <row r="70" customFormat="false" ht="15" hidden="false" customHeight="false" outlineLevel="0" collapsed="false">
      <c r="A70" s="76" t="s">
        <v>126</v>
      </c>
      <c r="B70" s="76" t="s">
        <v>54</v>
      </c>
      <c r="C70" s="76" t="s">
        <v>131</v>
      </c>
      <c r="D70" s="76" t="s">
        <v>1264</v>
      </c>
      <c r="E70" s="76" t="s">
        <v>1265</v>
      </c>
    </row>
    <row r="71" customFormat="false" ht="15" hidden="false" customHeight="false" outlineLevel="0" collapsed="false">
      <c r="A71" s="76" t="s">
        <v>265</v>
      </c>
      <c r="B71" s="76" t="s">
        <v>51</v>
      </c>
      <c r="C71" s="76" t="s">
        <v>1264</v>
      </c>
      <c r="D71" s="76" t="s">
        <v>1264</v>
      </c>
      <c r="E71" s="76" t="s">
        <v>1266</v>
      </c>
    </row>
    <row r="72" customFormat="false" ht="15" hidden="false" customHeight="false" outlineLevel="0" collapsed="false">
      <c r="A72" s="76" t="s">
        <v>271</v>
      </c>
      <c r="B72" s="76" t="s">
        <v>51</v>
      </c>
      <c r="C72" s="76" t="s">
        <v>273</v>
      </c>
      <c r="D72" s="76" t="s">
        <v>1267</v>
      </c>
      <c r="E72" s="76" t="s">
        <v>1268</v>
      </c>
    </row>
    <row r="73" customFormat="false" ht="15" hidden="false" customHeight="false" outlineLevel="0" collapsed="false">
      <c r="A73" s="76" t="s">
        <v>430</v>
      </c>
      <c r="B73" s="76" t="s">
        <v>51</v>
      </c>
      <c r="C73" s="76" t="s">
        <v>1264</v>
      </c>
      <c r="D73" s="76" t="s">
        <v>1264</v>
      </c>
      <c r="E73" s="76" t="s">
        <v>1266</v>
      </c>
    </row>
    <row r="74" customFormat="false" ht="15" hidden="false" customHeight="false" outlineLevel="0" collapsed="false">
      <c r="A74" s="76" t="s">
        <v>561</v>
      </c>
      <c r="B74" s="76" t="s">
        <v>51</v>
      </c>
      <c r="C74" s="76" t="s">
        <v>1264</v>
      </c>
      <c r="D74" s="76" t="s">
        <v>1264</v>
      </c>
      <c r="E74" s="76" t="s">
        <v>1266</v>
      </c>
    </row>
    <row r="75" customFormat="false" ht="15" hidden="false" customHeight="false" outlineLevel="0" collapsed="false">
      <c r="A75" s="76" t="s">
        <v>636</v>
      </c>
      <c r="B75" s="76" t="s">
        <v>51</v>
      </c>
      <c r="C75" s="76" t="s">
        <v>638</v>
      </c>
      <c r="D75" s="76" t="s">
        <v>1269</v>
      </c>
      <c r="E75" s="76" t="s">
        <v>1268</v>
      </c>
    </row>
    <row r="76" customFormat="false" ht="15" hidden="false" customHeight="false" outlineLevel="0" collapsed="false">
      <c r="A76" s="76" t="s">
        <v>118</v>
      </c>
      <c r="B76" s="76" t="s">
        <v>715</v>
      </c>
      <c r="C76" s="76" t="s">
        <v>125</v>
      </c>
      <c r="D76" s="76" t="s">
        <v>1270</v>
      </c>
      <c r="E76" s="76" t="s">
        <v>1271</v>
      </c>
    </row>
    <row r="77" customFormat="false" ht="15" hidden="false" customHeight="false" outlineLevel="0" collapsed="false">
      <c r="A77" s="76" t="s">
        <v>184</v>
      </c>
      <c r="B77" s="76" t="s">
        <v>716</v>
      </c>
      <c r="C77" s="76" t="s">
        <v>188</v>
      </c>
      <c r="D77" s="76" t="s">
        <v>188</v>
      </c>
      <c r="E77" s="76" t="s">
        <v>1272</v>
      </c>
    </row>
    <row r="78" customFormat="false" ht="15" hidden="false" customHeight="false" outlineLevel="0" collapsed="false">
      <c r="A78" s="76" t="s">
        <v>257</v>
      </c>
      <c r="B78" s="76" t="s">
        <v>715</v>
      </c>
      <c r="C78" s="76" t="s">
        <v>246</v>
      </c>
      <c r="D78" s="76" t="s">
        <v>1270</v>
      </c>
      <c r="E78" s="76" t="s">
        <v>1271</v>
      </c>
    </row>
    <row r="79" customFormat="false" ht="15" hidden="false" customHeight="false" outlineLevel="0" collapsed="false">
      <c r="A79" s="76" t="s">
        <v>462</v>
      </c>
      <c r="B79" s="76" t="s">
        <v>712</v>
      </c>
      <c r="C79" s="76" t="s">
        <v>465</v>
      </c>
      <c r="D79" s="76" t="s">
        <v>1270</v>
      </c>
      <c r="E79" s="76" t="s">
        <v>1273</v>
      </c>
    </row>
    <row r="80" customFormat="false" ht="19.4" hidden="false" customHeight="false" outlineLevel="0" collapsed="false">
      <c r="A80" s="76" t="s">
        <v>607</v>
      </c>
      <c r="B80" s="76" t="s">
        <v>715</v>
      </c>
      <c r="C80" s="76" t="s">
        <v>1264</v>
      </c>
      <c r="D80" s="76" t="s">
        <v>1264</v>
      </c>
      <c r="E80" s="76" t="s">
        <v>1274</v>
      </c>
    </row>
  </sheetData>
  <conditionalFormatting sqref="E6:E16">
    <cfRule type="cellIs" priority="2" operator="equal" aboveAverage="0" equalAverage="0" bottom="0" percent="0" rank="0" text="" dxfId="8">
      <formula>"OK"</formula>
    </cfRule>
    <cfRule type="cellIs" priority="3" operator="equal" aboveAverage="0" equalAverage="0" bottom="0" percent="0" rank="0" text="" dxfId="9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56"/>
    <col collapsed="false" customWidth="true" hidden="false" outlineLevel="0" max="6" min="6" style="0" width="22"/>
  </cols>
  <sheetData>
    <row r="1" customFormat="false" ht="25.5" hidden="false" customHeight="true" outlineLevel="0" collapsed="false">
      <c r="A1" s="8" t="s">
        <v>26</v>
      </c>
    </row>
    <row r="2" customFormat="false" ht="15" hidden="false" customHeight="false" outlineLevel="0" collapsed="false">
      <c r="A2" s="9" t="s">
        <v>42</v>
      </c>
    </row>
    <row r="4" customFormat="false" ht="15" hidden="false" customHeight="false" outlineLevel="0" collapsed="false">
      <c r="A4" s="6" t="s">
        <v>1275</v>
      </c>
    </row>
    <row r="5" customFormat="false" ht="15" hidden="false" customHeight="false" outlineLevel="0" collapsed="false">
      <c r="A5" s="11" t="s">
        <v>1276</v>
      </c>
      <c r="B5" s="11" t="s">
        <v>1277</v>
      </c>
      <c r="C5" s="11" t="s">
        <v>1278</v>
      </c>
      <c r="D5" s="11" t="s">
        <v>1279</v>
      </c>
    </row>
    <row r="6" customFormat="false" ht="53.7" hidden="false" customHeight="false" outlineLevel="0" collapsed="false">
      <c r="A6" s="24" t="s">
        <v>44</v>
      </c>
      <c r="B6" s="23" t="s">
        <v>1280</v>
      </c>
      <c r="C6" s="23" t="s">
        <v>1281</v>
      </c>
      <c r="D6" s="23" t="s">
        <v>288</v>
      </c>
    </row>
    <row r="7" customFormat="false" ht="53.7" hidden="false" customHeight="false" outlineLevel="0" collapsed="false">
      <c r="A7" s="24" t="s">
        <v>45</v>
      </c>
      <c r="B7" s="23" t="s">
        <v>1282</v>
      </c>
      <c r="C7" s="23" t="s">
        <v>1283</v>
      </c>
      <c r="D7" s="23" t="s">
        <v>260</v>
      </c>
    </row>
    <row r="8" customFormat="false" ht="53.7" hidden="false" customHeight="false" outlineLevel="0" collapsed="false">
      <c r="A8" s="24" t="s">
        <v>46</v>
      </c>
      <c r="B8" s="23" t="s">
        <v>1280</v>
      </c>
      <c r="C8" s="23" t="s">
        <v>1284</v>
      </c>
      <c r="D8" s="23" t="s">
        <v>206</v>
      </c>
    </row>
    <row r="9" customFormat="false" ht="53.7" hidden="false" customHeight="false" outlineLevel="0" collapsed="false">
      <c r="A9" s="24" t="s">
        <v>47</v>
      </c>
      <c r="B9" s="23" t="s">
        <v>1280</v>
      </c>
      <c r="C9" s="23" t="s">
        <v>1285</v>
      </c>
      <c r="D9" s="23" t="s">
        <v>90</v>
      </c>
    </row>
    <row r="10" customFormat="false" ht="22.35" hidden="false" customHeight="false" outlineLevel="0" collapsed="false">
      <c r="A10" s="24" t="s">
        <v>48</v>
      </c>
      <c r="B10" s="23" t="s">
        <v>1280</v>
      </c>
      <c r="C10" s="23" t="s">
        <v>1286</v>
      </c>
      <c r="D10" s="23" t="s">
        <v>91</v>
      </c>
    </row>
    <row r="11" customFormat="false" ht="32.8" hidden="false" customHeight="false" outlineLevel="0" collapsed="false">
      <c r="A11" s="24" t="s">
        <v>49</v>
      </c>
      <c r="B11" s="23" t="s">
        <v>1280</v>
      </c>
      <c r="C11" s="23" t="s">
        <v>1287</v>
      </c>
      <c r="D11" s="23" t="s">
        <v>103</v>
      </c>
    </row>
    <row r="12" customFormat="false" ht="32.8" hidden="false" customHeight="false" outlineLevel="0" collapsed="false">
      <c r="A12" s="24" t="s">
        <v>50</v>
      </c>
      <c r="B12" s="23" t="s">
        <v>1288</v>
      </c>
      <c r="C12" s="23" t="s">
        <v>1289</v>
      </c>
      <c r="D12" s="23" t="s">
        <v>68</v>
      </c>
    </row>
    <row r="13" customFormat="false" ht="53.7" hidden="false" customHeight="false" outlineLevel="0" collapsed="false">
      <c r="A13" s="24" t="s">
        <v>51</v>
      </c>
      <c r="B13" s="23" t="s">
        <v>1290</v>
      </c>
      <c r="C13" s="23" t="s">
        <v>1291</v>
      </c>
      <c r="D13" s="23" t="s">
        <v>1292</v>
      </c>
    </row>
    <row r="14" customFormat="false" ht="32.8" hidden="false" customHeight="false" outlineLevel="0" collapsed="false">
      <c r="A14" s="24" t="s">
        <v>52</v>
      </c>
      <c r="B14" s="23" t="s">
        <v>1282</v>
      </c>
      <c r="C14" s="23" t="s">
        <v>1293</v>
      </c>
      <c r="D14" s="23" t="s">
        <v>238</v>
      </c>
    </row>
    <row r="15" customFormat="false" ht="43.25" hidden="false" customHeight="false" outlineLevel="0" collapsed="false">
      <c r="A15" s="24" t="s">
        <v>53</v>
      </c>
      <c r="B15" s="23" t="s">
        <v>1282</v>
      </c>
      <c r="C15" s="23" t="s">
        <v>1294</v>
      </c>
      <c r="D15" s="23" t="s">
        <v>298</v>
      </c>
    </row>
    <row r="16" customFormat="false" ht="32.8" hidden="false" customHeight="false" outlineLevel="0" collapsed="false">
      <c r="A16" s="24" t="s">
        <v>54</v>
      </c>
      <c r="B16" s="23" t="s">
        <v>1282</v>
      </c>
      <c r="C16" s="23" t="s">
        <v>1295</v>
      </c>
      <c r="D16" s="23" t="s">
        <v>237</v>
      </c>
    </row>
    <row r="17" customFormat="false" ht="32.8" hidden="false" customHeight="false" outlineLevel="0" collapsed="false">
      <c r="A17" s="24" t="s">
        <v>55</v>
      </c>
      <c r="B17" s="23" t="s">
        <v>1282</v>
      </c>
      <c r="C17" s="23" t="s">
        <v>1296</v>
      </c>
      <c r="D17" s="23" t="s">
        <v>283</v>
      </c>
    </row>
    <row r="18" customFormat="false" ht="53.7" hidden="false" customHeight="false" outlineLevel="0" collapsed="false">
      <c r="A18" s="24" t="s">
        <v>56</v>
      </c>
      <c r="B18" s="23" t="s">
        <v>1282</v>
      </c>
      <c r="C18" s="23" t="s">
        <v>1297</v>
      </c>
      <c r="D18" s="23" t="s">
        <v>240</v>
      </c>
    </row>
    <row r="19" customFormat="false" ht="53.7" hidden="false" customHeight="false" outlineLevel="0" collapsed="false">
      <c r="A19" s="24" t="s">
        <v>57</v>
      </c>
      <c r="B19" s="23" t="s">
        <v>1280</v>
      </c>
      <c r="C19" s="23" t="s">
        <v>1298</v>
      </c>
      <c r="D19" s="23" t="s">
        <v>75</v>
      </c>
    </row>
    <row r="20" customFormat="false" ht="43.25" hidden="false" customHeight="false" outlineLevel="0" collapsed="false">
      <c r="A20" s="24" t="s">
        <v>58</v>
      </c>
      <c r="B20" s="23" t="s">
        <v>1280</v>
      </c>
      <c r="C20" s="23" t="s">
        <v>1299</v>
      </c>
      <c r="D20" s="23" t="s">
        <v>110</v>
      </c>
    </row>
    <row r="21" customFormat="false" ht="43.25" hidden="false" customHeight="false" outlineLevel="0" collapsed="false">
      <c r="A21" s="24" t="s">
        <v>59</v>
      </c>
      <c r="B21" s="23" t="s">
        <v>1280</v>
      </c>
      <c r="C21" s="23" t="s">
        <v>1300</v>
      </c>
      <c r="D21" s="23" t="s">
        <v>183</v>
      </c>
    </row>
    <row r="22" customFormat="false" ht="22.35" hidden="false" customHeight="false" outlineLevel="0" collapsed="false">
      <c r="A22" s="24" t="s">
        <v>60</v>
      </c>
      <c r="B22" s="23" t="s">
        <v>1280</v>
      </c>
      <c r="C22" s="23" t="s">
        <v>1301</v>
      </c>
      <c r="D22" s="23" t="s">
        <v>220</v>
      </c>
    </row>
    <row r="23" customFormat="false" ht="32.8" hidden="false" customHeight="false" outlineLevel="0" collapsed="false">
      <c r="A23" s="24" t="s">
        <v>61</v>
      </c>
      <c r="B23" s="23" t="s">
        <v>1280</v>
      </c>
      <c r="C23" s="23" t="s">
        <v>1302</v>
      </c>
      <c r="D23" s="23" t="s">
        <v>98</v>
      </c>
    </row>
    <row r="25" customFormat="false" ht="15" hidden="false" customHeight="false" outlineLevel="0" collapsed="false">
      <c r="A25" s="6" t="s">
        <v>1303</v>
      </c>
    </row>
    <row r="26" customFormat="false" ht="15" hidden="false" customHeight="false" outlineLevel="0" collapsed="false">
      <c r="A26" s="11" t="s">
        <v>1276</v>
      </c>
      <c r="B26" s="11" t="s">
        <v>1277</v>
      </c>
      <c r="C26" s="11" t="s">
        <v>1304</v>
      </c>
      <c r="D26" s="11" t="s">
        <v>1305</v>
      </c>
      <c r="E26" s="11" t="s">
        <v>1306</v>
      </c>
      <c r="F26" s="11" t="s">
        <v>1279</v>
      </c>
    </row>
    <row r="27" customFormat="false" ht="15" hidden="false" customHeight="false" outlineLevel="0" collapsed="false">
      <c r="A27" s="24" t="s">
        <v>705</v>
      </c>
      <c r="B27" s="23" t="s">
        <v>1280</v>
      </c>
      <c r="C27" s="23" t="s">
        <v>1307</v>
      </c>
      <c r="D27" s="23" t="s">
        <v>1308</v>
      </c>
      <c r="E27" s="23" t="s">
        <v>1309</v>
      </c>
      <c r="F27" s="23" t="s">
        <v>288</v>
      </c>
    </row>
    <row r="28" customFormat="false" ht="15" hidden="false" customHeight="false" outlineLevel="0" collapsed="false">
      <c r="A28" s="24" t="s">
        <v>706</v>
      </c>
      <c r="B28" s="23" t="s">
        <v>1310</v>
      </c>
      <c r="C28" s="23" t="s">
        <v>1307</v>
      </c>
      <c r="D28" s="23" t="s">
        <v>1311</v>
      </c>
      <c r="E28" s="23" t="s">
        <v>1312</v>
      </c>
      <c r="F28" s="23" t="s">
        <v>1313</v>
      </c>
    </row>
    <row r="29" customFormat="false" ht="15" hidden="false" customHeight="false" outlineLevel="0" collapsed="false">
      <c r="A29" s="24" t="s">
        <v>707</v>
      </c>
      <c r="B29" s="23" t="s">
        <v>1280</v>
      </c>
      <c r="C29" s="23" t="s">
        <v>1307</v>
      </c>
      <c r="D29" s="23" t="s">
        <v>1314</v>
      </c>
      <c r="E29" s="23" t="s">
        <v>1315</v>
      </c>
      <c r="F29" s="23" t="s">
        <v>206</v>
      </c>
    </row>
    <row r="30" customFormat="false" ht="15" hidden="false" customHeight="false" outlineLevel="0" collapsed="false">
      <c r="A30" s="24" t="s">
        <v>708</v>
      </c>
      <c r="B30" s="23" t="s">
        <v>1280</v>
      </c>
      <c r="C30" s="23" t="s">
        <v>1307</v>
      </c>
      <c r="D30" s="23" t="s">
        <v>1316</v>
      </c>
      <c r="E30" s="23" t="s">
        <v>1317</v>
      </c>
      <c r="F30" s="23" t="s">
        <v>90</v>
      </c>
    </row>
    <row r="31" customFormat="false" ht="15" hidden="false" customHeight="false" outlineLevel="0" collapsed="false">
      <c r="A31" s="24" t="s">
        <v>48</v>
      </c>
      <c r="B31" s="23" t="s">
        <v>1280</v>
      </c>
      <c r="C31" s="23" t="s">
        <v>1307</v>
      </c>
      <c r="D31" s="23" t="s">
        <v>1318</v>
      </c>
      <c r="E31" s="23" t="s">
        <v>1315</v>
      </c>
      <c r="F31" s="23" t="s">
        <v>91</v>
      </c>
    </row>
    <row r="32" customFormat="false" ht="15" hidden="false" customHeight="false" outlineLevel="0" collapsed="false">
      <c r="A32" s="24" t="s">
        <v>709</v>
      </c>
      <c r="B32" s="23" t="s">
        <v>1280</v>
      </c>
      <c r="C32" s="23" t="s">
        <v>1307</v>
      </c>
      <c r="D32" s="23" t="s">
        <v>1319</v>
      </c>
      <c r="E32" s="23" t="s">
        <v>1317</v>
      </c>
      <c r="F32" s="23" t="s">
        <v>103</v>
      </c>
    </row>
    <row r="33" customFormat="false" ht="15" hidden="false" customHeight="false" outlineLevel="0" collapsed="false">
      <c r="A33" s="24" t="s">
        <v>50</v>
      </c>
      <c r="B33" s="23" t="s">
        <v>1288</v>
      </c>
      <c r="C33" s="23" t="s">
        <v>1307</v>
      </c>
      <c r="D33" s="23" t="s">
        <v>1320</v>
      </c>
      <c r="E33" s="23" t="s">
        <v>1315</v>
      </c>
      <c r="F33" s="23" t="s">
        <v>68</v>
      </c>
    </row>
    <row r="34" customFormat="false" ht="15" hidden="false" customHeight="false" outlineLevel="0" collapsed="false">
      <c r="A34" s="24" t="s">
        <v>710</v>
      </c>
      <c r="B34" s="23" t="s">
        <v>1288</v>
      </c>
      <c r="C34" s="23" t="s">
        <v>1307</v>
      </c>
      <c r="D34" s="23" t="s">
        <v>1321</v>
      </c>
      <c r="E34" s="23" t="s">
        <v>1322</v>
      </c>
      <c r="F34" s="23" t="s">
        <v>1292</v>
      </c>
    </row>
    <row r="35" customFormat="false" ht="15" hidden="false" customHeight="false" outlineLevel="0" collapsed="false">
      <c r="A35" s="24" t="s">
        <v>711</v>
      </c>
      <c r="B35" s="23" t="s">
        <v>1310</v>
      </c>
      <c r="C35" s="23" t="s">
        <v>1307</v>
      </c>
      <c r="D35" s="23" t="s">
        <v>1323</v>
      </c>
      <c r="E35" s="23" t="s">
        <v>1324</v>
      </c>
      <c r="F35" s="23" t="s">
        <v>1325</v>
      </c>
    </row>
    <row r="36" customFormat="false" ht="15" hidden="false" customHeight="false" outlineLevel="0" collapsed="false">
      <c r="A36" s="24" t="s">
        <v>712</v>
      </c>
      <c r="B36" s="23" t="s">
        <v>1310</v>
      </c>
      <c r="C36" s="23" t="s">
        <v>1307</v>
      </c>
      <c r="D36" s="23" t="s">
        <v>1326</v>
      </c>
      <c r="E36" s="23" t="s">
        <v>1327</v>
      </c>
      <c r="F36" s="23" t="s">
        <v>1328</v>
      </c>
    </row>
    <row r="37" customFormat="false" ht="15" hidden="false" customHeight="false" outlineLevel="0" collapsed="false">
      <c r="A37" s="24" t="s">
        <v>713</v>
      </c>
      <c r="B37" s="23" t="s">
        <v>1310</v>
      </c>
      <c r="C37" s="23" t="s">
        <v>1307</v>
      </c>
      <c r="D37" s="23" t="s">
        <v>1329</v>
      </c>
      <c r="E37" s="23" t="s">
        <v>1330</v>
      </c>
      <c r="F37" s="23" t="s">
        <v>1331</v>
      </c>
    </row>
    <row r="38" customFormat="false" ht="15" hidden="false" customHeight="false" outlineLevel="0" collapsed="false">
      <c r="A38" s="24" t="s">
        <v>714</v>
      </c>
      <c r="B38" s="23" t="s">
        <v>1310</v>
      </c>
      <c r="C38" s="23" t="s">
        <v>1307</v>
      </c>
      <c r="D38" s="23" t="s">
        <v>1332</v>
      </c>
      <c r="E38" s="23" t="s">
        <v>1324</v>
      </c>
      <c r="F38" s="23" t="s">
        <v>1333</v>
      </c>
    </row>
    <row r="39" customFormat="false" ht="15" hidden="false" customHeight="false" outlineLevel="0" collapsed="false">
      <c r="A39" s="24" t="s">
        <v>715</v>
      </c>
      <c r="B39" s="23" t="s">
        <v>1310</v>
      </c>
      <c r="C39" s="23" t="s">
        <v>1307</v>
      </c>
      <c r="D39" s="23" t="s">
        <v>1334</v>
      </c>
      <c r="E39" s="23" t="s">
        <v>1335</v>
      </c>
      <c r="F39" s="23" t="s">
        <v>1336</v>
      </c>
    </row>
    <row r="40" customFormat="false" ht="15" hidden="false" customHeight="false" outlineLevel="0" collapsed="false">
      <c r="A40" s="24" t="s">
        <v>716</v>
      </c>
      <c r="B40" s="23" t="s">
        <v>1280</v>
      </c>
      <c r="C40" s="23" t="s">
        <v>1307</v>
      </c>
      <c r="D40" s="23" t="s">
        <v>1337</v>
      </c>
      <c r="E40" s="23" t="s">
        <v>1338</v>
      </c>
      <c r="F40" s="23" t="s">
        <v>75</v>
      </c>
    </row>
    <row r="41" customFormat="false" ht="15" hidden="false" customHeight="false" outlineLevel="0" collapsed="false">
      <c r="A41" s="24" t="s">
        <v>717</v>
      </c>
      <c r="B41" s="23" t="s">
        <v>1280</v>
      </c>
      <c r="C41" s="23" t="s">
        <v>1307</v>
      </c>
      <c r="D41" s="23" t="s">
        <v>1339</v>
      </c>
      <c r="E41" s="23" t="s">
        <v>1340</v>
      </c>
      <c r="F41" s="23" t="s">
        <v>84</v>
      </c>
    </row>
    <row r="42" customFormat="false" ht="15" hidden="false" customHeight="false" outlineLevel="0" collapsed="false">
      <c r="A42" s="24" t="s">
        <v>718</v>
      </c>
      <c r="B42" s="23" t="s">
        <v>1280</v>
      </c>
      <c r="C42" s="23" t="s">
        <v>1307</v>
      </c>
      <c r="D42" s="23" t="s">
        <v>1341</v>
      </c>
      <c r="E42" s="23" t="s">
        <v>1315</v>
      </c>
      <c r="F42" s="23" t="s">
        <v>183</v>
      </c>
    </row>
    <row r="43" customFormat="false" ht="15" hidden="false" customHeight="false" outlineLevel="0" collapsed="false">
      <c r="A43" s="24" t="s">
        <v>719</v>
      </c>
      <c r="B43" s="23" t="s">
        <v>1280</v>
      </c>
      <c r="C43" s="23" t="s">
        <v>1307</v>
      </c>
      <c r="D43" s="23" t="s">
        <v>1342</v>
      </c>
      <c r="E43" s="23" t="s">
        <v>1315</v>
      </c>
      <c r="F43" s="23" t="s">
        <v>210</v>
      </c>
    </row>
    <row r="44" customFormat="false" ht="15" hidden="false" customHeight="false" outlineLevel="0" collapsed="false">
      <c r="A44" s="24" t="s">
        <v>720</v>
      </c>
      <c r="B44" s="23" t="s">
        <v>1280</v>
      </c>
      <c r="C44" s="23" t="s">
        <v>1307</v>
      </c>
      <c r="D44" s="23" t="s">
        <v>1343</v>
      </c>
      <c r="E44" s="23" t="s">
        <v>1315</v>
      </c>
      <c r="F44" s="23" t="s">
        <v>98</v>
      </c>
    </row>
    <row r="45" customFormat="false" ht="15" hidden="false" customHeight="false" outlineLevel="0" collapsed="false">
      <c r="A45" s="24" t="s">
        <v>721</v>
      </c>
      <c r="B45" s="23" t="s">
        <v>1280</v>
      </c>
      <c r="C45" s="23" t="s">
        <v>1344</v>
      </c>
      <c r="D45" s="23" t="s">
        <v>1345</v>
      </c>
      <c r="E45" s="23" t="s">
        <v>1346</v>
      </c>
      <c r="F45" s="23" t="s">
        <v>746</v>
      </c>
    </row>
    <row r="46" customFormat="false" ht="15" hidden="false" customHeight="false" outlineLevel="0" collapsed="false">
      <c r="A46" s="24" t="s">
        <v>722</v>
      </c>
      <c r="B46" s="23" t="s">
        <v>1347</v>
      </c>
      <c r="C46" s="23" t="s">
        <v>1344</v>
      </c>
      <c r="D46" s="23" t="s">
        <v>1348</v>
      </c>
      <c r="E46" s="23" t="s">
        <v>1349</v>
      </c>
      <c r="F46" s="23" t="s">
        <v>104</v>
      </c>
    </row>
    <row r="47" customFormat="false" ht="15" hidden="false" customHeight="false" outlineLevel="0" collapsed="false">
      <c r="A47" s="24" t="s">
        <v>723</v>
      </c>
      <c r="B47" s="23" t="s">
        <v>1347</v>
      </c>
      <c r="C47" s="23" t="s">
        <v>1344</v>
      </c>
      <c r="D47" s="23" t="s">
        <v>1350</v>
      </c>
      <c r="E47" s="23" t="s">
        <v>1351</v>
      </c>
      <c r="F47" s="23" t="s">
        <v>104</v>
      </c>
    </row>
    <row r="48" customFormat="false" ht="15" hidden="false" customHeight="false" outlineLevel="0" collapsed="false">
      <c r="A48" s="24" t="s">
        <v>724</v>
      </c>
      <c r="B48" s="23" t="s">
        <v>1347</v>
      </c>
      <c r="C48" s="23" t="s">
        <v>1344</v>
      </c>
      <c r="D48" s="23" t="s">
        <v>1352</v>
      </c>
      <c r="E48" s="23" t="s">
        <v>1353</v>
      </c>
      <c r="F48" s="23" t="s">
        <v>104</v>
      </c>
    </row>
    <row r="49" customFormat="false" ht="15" hidden="false" customHeight="false" outlineLevel="0" collapsed="false">
      <c r="A49" s="24" t="s">
        <v>725</v>
      </c>
      <c r="B49" s="23" t="s">
        <v>1310</v>
      </c>
      <c r="C49" s="23" t="s">
        <v>1354</v>
      </c>
      <c r="D49" s="23" t="s">
        <v>1355</v>
      </c>
      <c r="E49" s="23" t="s">
        <v>1356</v>
      </c>
      <c r="F49" s="23" t="s">
        <v>1357</v>
      </c>
    </row>
    <row r="50" customFormat="false" ht="15" hidden="false" customHeight="false" outlineLevel="0" collapsed="false">
      <c r="A50" s="24" t="s">
        <v>726</v>
      </c>
      <c r="B50" s="23" t="s">
        <v>1347</v>
      </c>
      <c r="C50" s="23" t="s">
        <v>1354</v>
      </c>
      <c r="D50" s="23" t="s">
        <v>1358</v>
      </c>
      <c r="E50" s="23" t="s">
        <v>1359</v>
      </c>
      <c r="F50" s="23" t="s">
        <v>104</v>
      </c>
    </row>
    <row r="51" customFormat="false" ht="15" hidden="false" customHeight="false" outlineLevel="0" collapsed="false">
      <c r="A51" s="24" t="s">
        <v>727</v>
      </c>
      <c r="B51" s="23" t="s">
        <v>1347</v>
      </c>
      <c r="C51" s="23" t="s">
        <v>1354</v>
      </c>
      <c r="D51" s="23" t="s">
        <v>1360</v>
      </c>
      <c r="E51" s="23" t="s">
        <v>1361</v>
      </c>
      <c r="F51" s="23" t="s">
        <v>104</v>
      </c>
    </row>
    <row r="52" customFormat="false" ht="15" hidden="false" customHeight="false" outlineLevel="0" collapsed="false">
      <c r="A52" s="24" t="s">
        <v>728</v>
      </c>
      <c r="B52" s="23" t="s">
        <v>1288</v>
      </c>
      <c r="C52" s="23" t="s">
        <v>1354</v>
      </c>
      <c r="D52" s="23" t="s">
        <v>1362</v>
      </c>
      <c r="E52" s="23" t="s">
        <v>1363</v>
      </c>
      <c r="F52" s="23" t="s">
        <v>114</v>
      </c>
    </row>
    <row r="53" customFormat="false" ht="15" hidden="false" customHeight="false" outlineLevel="0" collapsed="false">
      <c r="A53" s="24" t="s">
        <v>729</v>
      </c>
      <c r="B53" s="23" t="s">
        <v>1280</v>
      </c>
      <c r="C53" s="23" t="s">
        <v>1354</v>
      </c>
      <c r="D53" s="23" t="s">
        <v>1364</v>
      </c>
      <c r="E53" s="23" t="s">
        <v>1365</v>
      </c>
      <c r="F53" s="23" t="s">
        <v>1050</v>
      </c>
    </row>
    <row r="54" customFormat="false" ht="15" hidden="false" customHeight="false" outlineLevel="0" collapsed="false">
      <c r="A54" s="24" t="s">
        <v>730</v>
      </c>
      <c r="B54" s="23" t="s">
        <v>1347</v>
      </c>
      <c r="C54" s="23" t="s">
        <v>1354</v>
      </c>
      <c r="D54" s="23" t="s">
        <v>1366</v>
      </c>
      <c r="E54" s="23" t="s">
        <v>1367</v>
      </c>
      <c r="F54" s="23" t="s">
        <v>104</v>
      </c>
    </row>
    <row r="55" customFormat="false" ht="15" hidden="false" customHeight="false" outlineLevel="0" collapsed="false">
      <c r="A55" s="24" t="s">
        <v>731</v>
      </c>
      <c r="B55" s="23" t="s">
        <v>1347</v>
      </c>
      <c r="C55" s="23" t="s">
        <v>1354</v>
      </c>
      <c r="D55" s="23" t="s">
        <v>1368</v>
      </c>
      <c r="E55" s="23" t="s">
        <v>1369</v>
      </c>
      <c r="F55" s="23" t="s">
        <v>104</v>
      </c>
    </row>
    <row r="56" customFormat="false" ht="15" hidden="false" customHeight="false" outlineLevel="0" collapsed="false">
      <c r="A56" s="24" t="s">
        <v>732</v>
      </c>
      <c r="B56" s="23" t="s">
        <v>1288</v>
      </c>
      <c r="C56" s="23" t="s">
        <v>1354</v>
      </c>
      <c r="D56" s="23" t="s">
        <v>1370</v>
      </c>
      <c r="E56" s="23" t="s">
        <v>1371</v>
      </c>
      <c r="F56" s="23" t="s">
        <v>1372</v>
      </c>
    </row>
    <row r="57" customFormat="false" ht="15" hidden="false" customHeight="false" outlineLevel="0" collapsed="false">
      <c r="A57" s="24" t="s">
        <v>733</v>
      </c>
      <c r="B57" s="23" t="s">
        <v>1280</v>
      </c>
      <c r="C57" s="23" t="s">
        <v>1354</v>
      </c>
      <c r="D57" s="23" t="s">
        <v>1364</v>
      </c>
      <c r="E57" s="23" t="s">
        <v>1373</v>
      </c>
      <c r="F57" s="23" t="s">
        <v>1374</v>
      </c>
    </row>
    <row r="58" customFormat="false" ht="15" hidden="false" customHeight="false" outlineLevel="0" collapsed="false">
      <c r="A58" s="24" t="s">
        <v>734</v>
      </c>
      <c r="B58" s="23" t="s">
        <v>1288</v>
      </c>
      <c r="C58" s="23" t="s">
        <v>1354</v>
      </c>
      <c r="D58" s="23" t="s">
        <v>1375</v>
      </c>
      <c r="E58" s="23" t="s">
        <v>1376</v>
      </c>
      <c r="F58" s="23" t="s">
        <v>1377</v>
      </c>
    </row>
    <row r="59" customFormat="false" ht="15" hidden="false" customHeight="false" outlineLevel="0" collapsed="false">
      <c r="A59" s="24" t="s">
        <v>735</v>
      </c>
      <c r="B59" s="23" t="s">
        <v>1288</v>
      </c>
      <c r="C59" s="23" t="s">
        <v>1354</v>
      </c>
      <c r="D59" s="23" t="s">
        <v>1378</v>
      </c>
      <c r="E59" s="23" t="s">
        <v>927</v>
      </c>
      <c r="F59" s="23" t="s">
        <v>68</v>
      </c>
    </row>
    <row r="60" customFormat="false" ht="15" hidden="false" customHeight="false" outlineLevel="0" collapsed="false">
      <c r="A60" s="24" t="s">
        <v>736</v>
      </c>
      <c r="B60" s="23" t="s">
        <v>1288</v>
      </c>
      <c r="C60" s="23" t="s">
        <v>1354</v>
      </c>
      <c r="D60" s="23" t="s">
        <v>1379</v>
      </c>
      <c r="E60" s="23" t="s">
        <v>916</v>
      </c>
      <c r="F60" s="23" t="s">
        <v>92</v>
      </c>
    </row>
    <row r="61" customFormat="false" ht="15" hidden="false" customHeight="false" outlineLevel="0" collapsed="false">
      <c r="A61" s="24" t="s">
        <v>737</v>
      </c>
      <c r="B61" s="23" t="s">
        <v>1288</v>
      </c>
      <c r="C61" s="23" t="s">
        <v>1354</v>
      </c>
      <c r="D61" s="23" t="s">
        <v>1380</v>
      </c>
      <c r="E61" s="23" t="s">
        <v>1381</v>
      </c>
      <c r="F61" s="23" t="s">
        <v>1382</v>
      </c>
    </row>
    <row r="62" customFormat="false" ht="15" hidden="false" customHeight="false" outlineLevel="0" collapsed="false">
      <c r="A62" s="24" t="s">
        <v>738</v>
      </c>
      <c r="B62" s="23" t="s">
        <v>1288</v>
      </c>
      <c r="C62" s="23" t="s">
        <v>1354</v>
      </c>
      <c r="D62" s="23" t="s">
        <v>1383</v>
      </c>
      <c r="E62" s="23" t="s">
        <v>1384</v>
      </c>
      <c r="F62" s="23" t="s">
        <v>1385</v>
      </c>
    </row>
    <row r="63" customFormat="false" ht="15" hidden="false" customHeight="false" outlineLevel="0" collapsed="false">
      <c r="A63" s="24" t="s">
        <v>739</v>
      </c>
      <c r="B63" s="23" t="s">
        <v>1280</v>
      </c>
      <c r="C63" s="23" t="s">
        <v>1354</v>
      </c>
      <c r="D63" s="23" t="s">
        <v>1386</v>
      </c>
      <c r="E63" s="23" t="s">
        <v>1387</v>
      </c>
      <c r="F63" s="23" t="s">
        <v>1006</v>
      </c>
    </row>
    <row r="64" customFormat="false" ht="22.35" hidden="false" customHeight="false" outlineLevel="0" collapsed="false">
      <c r="A64" s="24" t="s">
        <v>35</v>
      </c>
      <c r="B64" s="23" t="s">
        <v>1347</v>
      </c>
      <c r="C64" s="23" t="s">
        <v>1354</v>
      </c>
      <c r="D64" s="23" t="s">
        <v>1388</v>
      </c>
      <c r="E64" s="23" t="s">
        <v>1389</v>
      </c>
      <c r="F64" s="23" t="s">
        <v>1197</v>
      </c>
    </row>
    <row r="65" customFormat="false" ht="15" hidden="false" customHeight="false" outlineLevel="0" collapsed="false">
      <c r="A65" s="24" t="s">
        <v>740</v>
      </c>
      <c r="B65" s="23" t="s">
        <v>1288</v>
      </c>
      <c r="C65" s="23" t="s">
        <v>1354</v>
      </c>
      <c r="D65" s="23" t="s">
        <v>1390</v>
      </c>
      <c r="E65" s="23" t="s">
        <v>1391</v>
      </c>
      <c r="F65" s="23" t="s">
        <v>1392</v>
      </c>
    </row>
    <row r="66" customFormat="false" ht="15" hidden="false" customHeight="false" outlineLevel="0" collapsed="false">
      <c r="A66" s="24" t="s">
        <v>741</v>
      </c>
      <c r="B66" s="23" t="s">
        <v>1280</v>
      </c>
      <c r="C66" s="23" t="s">
        <v>1354</v>
      </c>
      <c r="D66" s="23" t="s">
        <v>1393</v>
      </c>
      <c r="E66" s="23" t="s">
        <v>1394</v>
      </c>
      <c r="F66" s="23" t="s">
        <v>1395</v>
      </c>
    </row>
    <row r="67" customFormat="false" ht="15" hidden="false" customHeight="false" outlineLevel="0" collapsed="false">
      <c r="A67" s="24" t="s">
        <v>742</v>
      </c>
      <c r="B67" s="23" t="s">
        <v>1347</v>
      </c>
      <c r="C67" s="23" t="s">
        <v>1354</v>
      </c>
      <c r="D67" s="23" t="s">
        <v>1396</v>
      </c>
      <c r="E67" s="23" t="s">
        <v>1397</v>
      </c>
      <c r="F67" s="23" t="s">
        <v>104</v>
      </c>
    </row>
    <row r="68" customFormat="false" ht="15" hidden="false" customHeight="false" outlineLevel="0" collapsed="false">
      <c r="A68" s="24" t="s">
        <v>743</v>
      </c>
      <c r="B68" s="23" t="s">
        <v>1288</v>
      </c>
      <c r="C68" s="23" t="s">
        <v>1354</v>
      </c>
      <c r="D68" s="23" t="s">
        <v>1398</v>
      </c>
      <c r="E68" s="23" t="s">
        <v>1399</v>
      </c>
      <c r="F68" s="23" t="s">
        <v>1400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1034</v>
      </c>
      <c r="B1" s="0" t="s">
        <v>1036</v>
      </c>
      <c r="C1" s="0" t="s">
        <v>48</v>
      </c>
      <c r="D1" s="0" t="s">
        <v>57</v>
      </c>
    </row>
    <row r="2" customFormat="false" ht="15" hidden="false" customHeight="false" outlineLevel="0" collapsed="false">
      <c r="A2" s="0" t="s">
        <v>1035</v>
      </c>
      <c r="B2" s="0" t="s">
        <v>1035</v>
      </c>
      <c r="C2" s="0" t="s">
        <v>1035</v>
      </c>
      <c r="D2" s="0" t="s">
        <v>75</v>
      </c>
    </row>
    <row r="3" customFormat="false" ht="15" hidden="false" customHeight="false" outlineLevel="0" collapsed="false">
      <c r="A3" s="0" t="s">
        <v>160</v>
      </c>
      <c r="B3" s="0" t="s">
        <v>149</v>
      </c>
      <c r="C3" s="0" t="s">
        <v>91</v>
      </c>
      <c r="D3" s="0" t="s">
        <v>328</v>
      </c>
    </row>
    <row r="4" customFormat="false" ht="15" hidden="false" customHeight="false" outlineLevel="0" collapsed="false">
      <c r="A4" s="0" t="s">
        <v>67</v>
      </c>
      <c r="B4" s="0" t="s">
        <v>90</v>
      </c>
      <c r="C4" s="0" t="s">
        <v>102</v>
      </c>
      <c r="D4" s="0" t="s">
        <v>188</v>
      </c>
    </row>
    <row r="5" customFormat="false" ht="15" hidden="false" customHeight="false" outlineLevel="0" collapsed="false">
      <c r="A5" s="0" t="s">
        <v>150</v>
      </c>
      <c r="B5" s="0" t="s">
        <v>65</v>
      </c>
      <c r="C5" s="0" t="s">
        <v>66</v>
      </c>
    </row>
    <row r="6" customFormat="false" ht="15" hidden="false" customHeight="false" outlineLevel="0" collapsed="false">
      <c r="A6" s="0" t="s">
        <v>103</v>
      </c>
    </row>
    <row r="7" customFormat="false" ht="15" hidden="false" customHeight="false" outlineLevel="0" collapsed="false">
      <c r="A7" s="0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2026-10-29T10:16:44Z</dcterms:created>
  <dc:creator>openpyxl</dc:creator>
  <dc:description/>
  <dc:language>en-US</dc:language>
  <cp:lastModifiedBy/>
  <dcterms:modified xsi:type="dcterms:W3CDTF">2026-10-29T10:16:47Z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